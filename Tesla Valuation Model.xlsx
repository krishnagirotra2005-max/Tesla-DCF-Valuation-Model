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ate1904="1" codeName="ThisWorkbook"/>
  <mc:AlternateContent xmlns:mc="http://schemas.openxmlformats.org/markup-compatibility/2006">
    <mc:Choice Requires="x15">
      <x15ac:absPath xmlns:x15ac="http://schemas.microsoft.com/office/spreadsheetml/2010/11/ac" url="/Users/krishna/Desktop/"/>
    </mc:Choice>
  </mc:AlternateContent>
  <xr:revisionPtr revIDLastSave="0" documentId="8_{719CD556-C5F4-8345-81BD-1CD395D96629}" xr6:coauthVersionLast="47" xr6:coauthVersionMax="47" xr10:uidLastSave="{00000000-0000-0000-0000-000000000000}"/>
  <bookViews>
    <workbookView xWindow="0" yWindow="0" windowWidth="23260" windowHeight="13900" tabRatio="772" firstSheet="3" activeTab="3" xr2:uid="{00000000-000D-0000-FFFF-FFFF00000000}"/>
  </bookViews>
  <sheets>
    <sheet name="Tesla Formatting" sheetId="25" r:id="rId1"/>
    <sheet name="Tesla Valuation" sheetId="26" r:id="rId2"/>
    <sheet name="Inputs From 10k" sheetId="14" r:id="rId3"/>
    <sheet name="Assumptions&gt;&gt;&gt;" sheetId="20" r:id="rId4"/>
    <sheet name="Unadjusted Growth Rate (Calc)" sheetId="17" r:id="rId5"/>
    <sheet name="Adjusted Growth Rate (G&amp;R Calc)" sheetId="19" r:id="rId6"/>
    <sheet name="EBIT OP Margin (Calc)&gt;" sheetId="22" r:id="rId7"/>
    <sheet name="Cost of Sales Ratio (Calc)" sheetId="24" r:id="rId8"/>
    <sheet name="OPEX Ratio (Calc)" sheetId="23" r:id="rId9"/>
    <sheet name="Miscelanious Tabs&gt;&gt;&gt;" sheetId="21" r:id="rId10"/>
    <sheet name="Risks" sheetId="15" r:id="rId11"/>
    <sheet name="Sheet3" sheetId="16" r:id="rId12"/>
    <sheet name="Valuation sheet (Original)" sheetId="13" r:id="rId13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6" l="1"/>
  <c r="D4" i="26"/>
  <c r="C4" i="26"/>
  <c r="B4" i="20"/>
  <c r="B6" i="20"/>
  <c r="B5" i="20"/>
  <c r="H14" i="17"/>
  <c r="H15" i="17"/>
  <c r="H16" i="17"/>
  <c r="H17" i="17"/>
  <c r="H18" i="17"/>
  <c r="H19" i="17"/>
  <c r="H20" i="17"/>
  <c r="H21" i="17"/>
  <c r="H22" i="17"/>
  <c r="H24" i="17"/>
  <c r="H23" i="17"/>
  <c r="B26" i="26"/>
  <c r="B25" i="26"/>
  <c r="B23" i="26"/>
  <c r="C13" i="26"/>
  <c r="D12" i="26"/>
  <c r="E12" i="26"/>
  <c r="F12" i="26"/>
  <c r="G12" i="26"/>
  <c r="H12" i="26"/>
  <c r="I12" i="26"/>
  <c r="J12" i="26"/>
  <c r="K12" i="26"/>
  <c r="L12" i="26"/>
  <c r="B6" i="26"/>
  <c r="B4" i="26"/>
  <c r="E4" i="26"/>
  <c r="G4" i="26"/>
  <c r="H4" i="26"/>
  <c r="I4" i="26"/>
  <c r="J4" i="26"/>
  <c r="K4" i="26"/>
  <c r="L4" i="26"/>
  <c r="M4" i="26"/>
  <c r="B3" i="26"/>
  <c r="B26" i="13"/>
  <c r="B25" i="13"/>
  <c r="B6" i="13"/>
  <c r="B4" i="13"/>
  <c r="B3" i="14"/>
  <c r="B3" i="13"/>
  <c r="C4" i="13"/>
  <c r="D4" i="13"/>
  <c r="E4" i="13"/>
  <c r="F4" i="13"/>
  <c r="G4" i="13"/>
  <c r="H4" i="13"/>
  <c r="I4" i="13"/>
  <c r="J4" i="13"/>
  <c r="K4" i="13"/>
  <c r="L4" i="13"/>
  <c r="M4" i="13"/>
  <c r="C6" i="13"/>
  <c r="D6" i="13"/>
  <c r="E6" i="13"/>
  <c r="F6" i="13"/>
  <c r="G6" i="13"/>
  <c r="H6" i="13"/>
  <c r="I6" i="13"/>
  <c r="J6" i="13"/>
  <c r="K6" i="13"/>
  <c r="L6" i="13"/>
  <c r="M6" i="13"/>
  <c r="B5" i="13"/>
  <c r="C1" i="20"/>
  <c r="D1" i="20"/>
  <c r="E1" i="20"/>
  <c r="F1" i="20"/>
  <c r="G1" i="20"/>
  <c r="H1" i="20"/>
  <c r="I1" i="20"/>
  <c r="J1" i="20"/>
  <c r="K1" i="20"/>
  <c r="F24" i="19"/>
  <c r="F23" i="19"/>
  <c r="F22" i="19"/>
  <c r="F21" i="19"/>
  <c r="F20" i="19"/>
  <c r="F25" i="19"/>
  <c r="C30" i="19"/>
  <c r="G16" i="19"/>
  <c r="G13" i="19"/>
  <c r="G14" i="19"/>
  <c r="G15" i="19"/>
  <c r="G12" i="19"/>
  <c r="B28" i="19"/>
  <c r="D28" i="19"/>
  <c r="E24" i="19"/>
  <c r="E23" i="19"/>
  <c r="E22" i="19"/>
  <c r="E21" i="19"/>
  <c r="E20" i="19"/>
  <c r="F16" i="19"/>
  <c r="F15" i="19"/>
  <c r="F14" i="19"/>
  <c r="F13" i="19"/>
  <c r="F12" i="19"/>
  <c r="A3" i="17"/>
  <c r="A4" i="17"/>
  <c r="A5" i="17"/>
  <c r="A6" i="17"/>
  <c r="A7" i="17"/>
  <c r="A8" i="17"/>
  <c r="A9" i="17"/>
  <c r="A10" i="17"/>
  <c r="A11" i="17"/>
  <c r="A12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B3" i="17"/>
  <c r="B4" i="17"/>
  <c r="B5" i="17"/>
  <c r="B6" i="17"/>
  <c r="B7" i="17"/>
  <c r="B8" i="17"/>
  <c r="B9" i="17"/>
  <c r="B10" i="17"/>
  <c r="B11" i="17"/>
  <c r="B12" i="17"/>
  <c r="B14" i="17"/>
  <c r="D12" i="17"/>
  <c r="D10" i="17"/>
  <c r="D9" i="17"/>
  <c r="D8" i="17"/>
  <c r="D7" i="17"/>
  <c r="D6" i="17"/>
  <c r="D5" i="17"/>
  <c r="D4" i="17"/>
  <c r="D3" i="17"/>
  <c r="D11" i="17"/>
  <c r="A11" i="15"/>
  <c r="A12" i="15"/>
  <c r="A13" i="15"/>
  <c r="A14" i="15"/>
  <c r="A2" i="15"/>
  <c r="A3" i="15"/>
  <c r="A4" i="15"/>
  <c r="A5" i="15"/>
  <c r="A6" i="15"/>
  <c r="C13" i="13"/>
  <c r="D12" i="13"/>
  <c r="E12" i="13"/>
  <c r="F12" i="13"/>
  <c r="G12" i="13"/>
  <c r="H12" i="13"/>
  <c r="I12" i="13"/>
  <c r="J12" i="13"/>
  <c r="K12" i="13"/>
  <c r="L12" i="13"/>
  <c r="B23" i="13"/>
  <c r="D13" i="26"/>
  <c r="E13" i="26"/>
  <c r="F13" i="26"/>
  <c r="G13" i="26"/>
  <c r="H13" i="26"/>
  <c r="I13" i="26"/>
  <c r="J13" i="26"/>
  <c r="K13" i="26"/>
  <c r="L13" i="26"/>
  <c r="B5" i="26"/>
  <c r="B7" i="26"/>
  <c r="B7" i="13"/>
  <c r="F17" i="19"/>
  <c r="B30" i="19"/>
  <c r="D30" i="19"/>
  <c r="E25" i="19"/>
  <c r="C29" i="19"/>
  <c r="E17" i="19"/>
  <c r="B29" i="19"/>
  <c r="D14" i="17"/>
  <c r="E14" i="17"/>
  <c r="B15" i="17"/>
  <c r="D13" i="13"/>
  <c r="E13" i="13"/>
  <c r="D29" i="19"/>
  <c r="D15" i="17"/>
  <c r="E15" i="17"/>
  <c r="B16" i="17"/>
  <c r="F13" i="13"/>
  <c r="E16" i="17"/>
  <c r="B17" i="17"/>
  <c r="D16" i="17"/>
  <c r="G14" i="17"/>
  <c r="F14" i="17"/>
  <c r="G13" i="13"/>
  <c r="B2" i="20"/>
  <c r="D17" i="17"/>
  <c r="E17" i="17"/>
  <c r="B18" i="17"/>
  <c r="F15" i="17"/>
  <c r="G15" i="17"/>
  <c r="H13" i="13"/>
  <c r="C2" i="20"/>
  <c r="D18" i="17"/>
  <c r="E18" i="17"/>
  <c r="B19" i="17"/>
  <c r="G16" i="17"/>
  <c r="F16" i="17"/>
  <c r="D2" i="20"/>
  <c r="I13" i="13"/>
  <c r="C2" i="13"/>
  <c r="C3" i="13"/>
  <c r="C5" i="13"/>
  <c r="C7" i="13"/>
  <c r="C2" i="26"/>
  <c r="C3" i="26"/>
  <c r="D5" i="20"/>
  <c r="D6" i="20"/>
  <c r="D4" i="20"/>
  <c r="C6" i="20"/>
  <c r="C5" i="20"/>
  <c r="C4" i="20"/>
  <c r="B20" i="17"/>
  <c r="D19" i="17"/>
  <c r="E19" i="17"/>
  <c r="G17" i="17"/>
  <c r="F17" i="17"/>
  <c r="E2" i="20"/>
  <c r="J13" i="13"/>
  <c r="C9" i="13"/>
  <c r="D2" i="13"/>
  <c r="D3" i="13"/>
  <c r="D2" i="26"/>
  <c r="E2" i="13"/>
  <c r="E2" i="26"/>
  <c r="C9" i="26"/>
  <c r="D3" i="26"/>
  <c r="C5" i="26"/>
  <c r="C7" i="26"/>
  <c r="E6" i="20"/>
  <c r="E5" i="20"/>
  <c r="E4" i="20"/>
  <c r="C10" i="13"/>
  <c r="C14" i="13"/>
  <c r="D20" i="17"/>
  <c r="E20" i="17"/>
  <c r="B21" i="17"/>
  <c r="F18" i="17"/>
  <c r="G18" i="17"/>
  <c r="K13" i="13"/>
  <c r="E3" i="13"/>
  <c r="F3" i="13"/>
  <c r="D9" i="26"/>
  <c r="E3" i="26"/>
  <c r="D5" i="26"/>
  <c r="D7" i="26"/>
  <c r="D10" i="26"/>
  <c r="D14" i="26"/>
  <c r="F2" i="13"/>
  <c r="F2" i="26"/>
  <c r="D9" i="13"/>
  <c r="D5" i="13"/>
  <c r="D7" i="13"/>
  <c r="C10" i="26"/>
  <c r="C14" i="26"/>
  <c r="D10" i="13"/>
  <c r="D14" i="13"/>
  <c r="F2" i="20"/>
  <c r="D21" i="17"/>
  <c r="E21" i="17"/>
  <c r="B22" i="17"/>
  <c r="F19" i="17"/>
  <c r="G19" i="17"/>
  <c r="L13" i="13"/>
  <c r="E5" i="13"/>
  <c r="E7" i="13"/>
  <c r="E9" i="13"/>
  <c r="E9" i="26"/>
  <c r="F3" i="26"/>
  <c r="E5" i="26"/>
  <c r="E7" i="26"/>
  <c r="E10" i="26"/>
  <c r="E14" i="26"/>
  <c r="G2" i="20"/>
  <c r="F5" i="13"/>
  <c r="F7" i="13"/>
  <c r="F9" i="13"/>
  <c r="F5" i="20"/>
  <c r="F6" i="20"/>
  <c r="F4" i="20"/>
  <c r="D22" i="17"/>
  <c r="E22" i="17"/>
  <c r="B23" i="17"/>
  <c r="F20" i="17"/>
  <c r="G20" i="17"/>
  <c r="E10" i="13"/>
  <c r="E14" i="13"/>
  <c r="G2" i="13"/>
  <c r="G3" i="13"/>
  <c r="G2" i="26"/>
  <c r="F9" i="26"/>
  <c r="G3" i="26"/>
  <c r="F5" i="26"/>
  <c r="F7" i="26"/>
  <c r="G5" i="13"/>
  <c r="G7" i="13"/>
  <c r="G9" i="13"/>
  <c r="F10" i="13"/>
  <c r="F14" i="13"/>
  <c r="H2" i="20"/>
  <c r="G5" i="20"/>
  <c r="G6" i="20"/>
  <c r="G4" i="20"/>
  <c r="E23" i="17"/>
  <c r="F22" i="17"/>
  <c r="B24" i="17"/>
  <c r="D23" i="17"/>
  <c r="G21" i="17"/>
  <c r="F21" i="17"/>
  <c r="I2" i="20"/>
  <c r="F10" i="26"/>
  <c r="F14" i="26"/>
  <c r="G9" i="26"/>
  <c r="G5" i="26"/>
  <c r="G7" i="26"/>
  <c r="G10" i="26"/>
  <c r="G14" i="26"/>
  <c r="H2" i="13"/>
  <c r="H3" i="13"/>
  <c r="H2" i="26"/>
  <c r="H3" i="26"/>
  <c r="H5" i="13"/>
  <c r="H7" i="13"/>
  <c r="H9" i="13"/>
  <c r="H6" i="20"/>
  <c r="H5" i="20"/>
  <c r="H4" i="20"/>
  <c r="I5" i="20"/>
  <c r="I6" i="20"/>
  <c r="I4" i="20"/>
  <c r="G10" i="13"/>
  <c r="G14" i="13"/>
  <c r="D24" i="17"/>
  <c r="E24" i="17"/>
  <c r="B25" i="17"/>
  <c r="G22" i="17"/>
  <c r="J2" i="20"/>
  <c r="H5" i="26"/>
  <c r="H7" i="26"/>
  <c r="H9" i="26"/>
  <c r="I2" i="13"/>
  <c r="I3" i="13"/>
  <c r="I2" i="26"/>
  <c r="I3" i="26"/>
  <c r="J2" i="13"/>
  <c r="J2" i="26"/>
  <c r="J5" i="20"/>
  <c r="J6" i="20"/>
  <c r="J4" i="20"/>
  <c r="H10" i="13"/>
  <c r="H14" i="13"/>
  <c r="D25" i="17"/>
  <c r="G24" i="17"/>
  <c r="E25" i="17"/>
  <c r="F24" i="17"/>
  <c r="G23" i="17"/>
  <c r="F23" i="17"/>
  <c r="J3" i="13"/>
  <c r="J3" i="26"/>
  <c r="I5" i="26"/>
  <c r="I7" i="26"/>
  <c r="I9" i="26"/>
  <c r="I5" i="13"/>
  <c r="I7" i="13"/>
  <c r="K2" i="13"/>
  <c r="K2" i="26"/>
  <c r="I9" i="13"/>
  <c r="H10" i="26"/>
  <c r="H14" i="26"/>
  <c r="K3" i="13"/>
  <c r="J5" i="13"/>
  <c r="J7" i="13"/>
  <c r="J9" i="13"/>
  <c r="I10" i="13"/>
  <c r="I14" i="13"/>
  <c r="K2" i="20"/>
  <c r="K3" i="26"/>
  <c r="J5" i="26"/>
  <c r="J7" i="26"/>
  <c r="J9" i="26"/>
  <c r="I10" i="26"/>
  <c r="I14" i="26"/>
  <c r="K6" i="20"/>
  <c r="K5" i="20"/>
  <c r="K4" i="20"/>
  <c r="J10" i="13"/>
  <c r="J14" i="13"/>
  <c r="K5" i="13"/>
  <c r="K7" i="13"/>
  <c r="K9" i="13"/>
  <c r="L2" i="13"/>
  <c r="L3" i="13"/>
  <c r="M3" i="13"/>
  <c r="M5" i="13"/>
  <c r="M7" i="13"/>
  <c r="M9" i="13"/>
  <c r="L2" i="26"/>
  <c r="J10" i="26"/>
  <c r="J14" i="26"/>
  <c r="K5" i="26"/>
  <c r="K7" i="26"/>
  <c r="K9" i="26"/>
  <c r="L3" i="26"/>
  <c r="K10" i="13"/>
  <c r="K14" i="13"/>
  <c r="L9" i="13"/>
  <c r="L5" i="13"/>
  <c r="L7" i="13"/>
  <c r="L5" i="26"/>
  <c r="L7" i="26"/>
  <c r="L9" i="26"/>
  <c r="M3" i="26"/>
  <c r="M5" i="26"/>
  <c r="M7" i="26"/>
  <c r="M9" i="26"/>
  <c r="M10" i="26"/>
  <c r="B16" i="26"/>
  <c r="K10" i="26"/>
  <c r="K14" i="26"/>
  <c r="M10" i="13"/>
  <c r="B16" i="13"/>
  <c r="B18" i="13"/>
  <c r="B19" i="13"/>
  <c r="L10" i="13"/>
  <c r="L14" i="13"/>
  <c r="B20" i="13"/>
  <c r="B18" i="26"/>
  <c r="B19" i="26"/>
  <c r="L10" i="26"/>
  <c r="L14" i="26"/>
  <c r="B20" i="26"/>
  <c r="B21" i="13"/>
  <c r="B24" i="13"/>
  <c r="B27" i="13"/>
  <c r="B29" i="13"/>
  <c r="B21" i="26"/>
  <c r="B24" i="26"/>
  <c r="B27" i="26"/>
  <c r="B29" i="26"/>
</calcChain>
</file>

<file path=xl/sharedStrings.xml><?xml version="1.0" encoding="utf-8"?>
<sst xmlns="http://schemas.openxmlformats.org/spreadsheetml/2006/main" count="192" uniqueCount="149">
  <si>
    <t>Base year</t>
    <phoneticPr fontId="2" type="noConversion"/>
  </si>
  <si>
    <t>Terminal year</t>
  </si>
  <si>
    <t>Revenue growth rate</t>
    <phoneticPr fontId="2" type="noConversion"/>
  </si>
  <si>
    <t>Revenues</t>
  </si>
  <si>
    <t>EBIT (Operating) margin</t>
    <phoneticPr fontId="2" type="noConversion"/>
  </si>
  <si>
    <t>EBIT (Operating income)</t>
    <phoneticPr fontId="2" type="noConversion"/>
  </si>
  <si>
    <t>Tax rate</t>
  </si>
  <si>
    <t>EBIT(1-t)</t>
  </si>
  <si>
    <t>Sales to capital ratio</t>
  </si>
  <si>
    <t xml:space="preserve"> - Reinvestment</t>
    <phoneticPr fontId="2" type="noConversion"/>
  </si>
  <si>
    <t>FCFF</t>
  </si>
  <si>
    <t>Cost of capital</t>
  </si>
  <si>
    <t>Cumulated discount factor</t>
  </si>
  <si>
    <t>PV(FCFF)</t>
    <phoneticPr fontId="2" type="noConversion"/>
  </si>
  <si>
    <t>Terminal cash flow</t>
    <phoneticPr fontId="2" type="noConversion"/>
  </si>
  <si>
    <t>Terminal cost of capital</t>
  </si>
  <si>
    <t>Color Key:</t>
  </si>
  <si>
    <t>Terminal value</t>
    <phoneticPr fontId="2" type="noConversion"/>
  </si>
  <si>
    <t>PV(Terminal value)</t>
    <phoneticPr fontId="2" type="noConversion"/>
  </si>
  <si>
    <t>Cells you need to fill</t>
  </si>
  <si>
    <t>PV (CF over next 10 years)</t>
  </si>
  <si>
    <t>Pre-filled cells with data that is used by other cells</t>
  </si>
  <si>
    <t>Sum of PV</t>
  </si>
  <si>
    <t>Cells with formulas that will auto-fill once you input data in green cells</t>
  </si>
  <si>
    <t>Probability of failure =</t>
  </si>
  <si>
    <t>Proceeds if firm fails =</t>
  </si>
  <si>
    <t>Value of operating assets =</t>
  </si>
  <si>
    <t xml:space="preserve"> - Debt</t>
  </si>
  <si>
    <t xml:space="preserve"> +  Cash</t>
  </si>
  <si>
    <t>Value of equity</t>
  </si>
  <si>
    <t>Number of shares</t>
    <phoneticPr fontId="2" type="noConversion"/>
  </si>
  <si>
    <t>Estimated value /share</t>
  </si>
  <si>
    <t>Input</t>
  </si>
  <si>
    <t>Value</t>
  </si>
  <si>
    <t>Place in the 10K</t>
  </si>
  <si>
    <t>Total Revenue</t>
  </si>
  <si>
    <t>Operatin Margin</t>
  </si>
  <si>
    <t>Tax Rate</t>
  </si>
  <si>
    <t>Debt</t>
  </si>
  <si>
    <t>Cash</t>
  </si>
  <si>
    <t>PG. 50, Revenue Recognition</t>
  </si>
  <si>
    <t>Operating Income/Total Revenue</t>
  </si>
  <si>
    <t>7,076 from pg. 52, Consolidated statement of operations</t>
  </si>
  <si>
    <t>Formula</t>
  </si>
  <si>
    <t xml:space="preserve">Effective Tax Rate </t>
  </si>
  <si>
    <t>#</t>
  </si>
  <si>
    <t>Risk</t>
  </si>
  <si>
    <t>Effect</t>
  </si>
  <si>
    <t>Result (% Change)</t>
  </si>
  <si>
    <t>Decrease in market share</t>
  </si>
  <si>
    <t>Mitigator</t>
  </si>
  <si>
    <t>Increase in new EV vehicles other than Tesla into the Market</t>
  </si>
  <si>
    <t>Delays in design and production(yearly)</t>
  </si>
  <si>
    <t>Advantage</t>
  </si>
  <si>
    <t>Advantages</t>
  </si>
  <si>
    <t>Reduction of tax credits and reduced subsidies</t>
  </si>
  <si>
    <t>Less affordable cars, revenue drops</t>
  </si>
  <si>
    <t>Year</t>
  </si>
  <si>
    <t>Index (X)</t>
  </si>
  <si>
    <t>Logarithmic Revenue ($B)</t>
  </si>
  <si>
    <t>Weighted Average</t>
  </si>
  <si>
    <t>Log Growth Rate</t>
  </si>
  <si>
    <t>Linear Growth Rate</t>
  </si>
  <si>
    <t>Mitigant strength</t>
  </si>
  <si>
    <t>Reduction</t>
  </si>
  <si>
    <t>Rationale</t>
  </si>
  <si>
    <t>Strong</t>
  </si>
  <si>
    <t>60 – 70 %</t>
  </si>
  <si>
    <t>Vertical integration, multiple plants, clear execution history</t>
  </si>
  <si>
    <t>Moderate</t>
  </si>
  <si>
    <t>40 – 50 %</t>
  </si>
  <si>
    <t>Some exposure remains but active management</t>
  </si>
  <si>
    <t>Weak</t>
  </si>
  <si>
    <t>20 – 30 %</t>
  </si>
  <si>
    <t>Limited control or high external dependence</t>
  </si>
  <si>
    <t>Effect (before mitigation)</t>
  </si>
  <si>
    <t>Mitigation strength</t>
  </si>
  <si>
    <t>Most-likely impact after mitigation</t>
  </si>
  <si>
    <t>1. Production &amp; Factory Ramp</t>
  </si>
  <si>
    <t>Multi-plant redundancy (Austin, Berlin, Shanghai); automation upgrades.</t>
  </si>
  <si>
    <t>2. Battery &amp; Raw-Material Supply</t>
  </si>
  <si>
    <t>Long-term contracts + in-house 4680 ramp.</t>
  </si>
  <si>
    <t>3. Demand &amp; Pricing Elasticity</t>
  </si>
  <si>
    <t>Financing / insurance integration; Model 2 broadens market.</t>
  </si>
  <si>
    <t>4. Competitive Intensity &amp; Product Cadence</t>
  </si>
  <si>
    <t>Brand loyalty; FSD software advantage; Supercharger ecosystem.</t>
  </si>
  <si>
    <t>5. Policy / Trade / FX</t>
  </si>
  <si>
    <t>Geographic diversification; local production; lobbying efforts.</t>
  </si>
  <si>
    <t>Effect (before)</t>
  </si>
  <si>
    <t>Execution likelihood</t>
  </si>
  <si>
    <t>Energy &amp; Storage Expansion</t>
  </si>
  <si>
    <t>FSD / Software Monetization</t>
  </si>
  <si>
    <t>Manufacturing Efficiency</t>
  </si>
  <si>
    <t>New Product Launches</t>
  </si>
  <si>
    <t>Geographic Expansion</t>
  </si>
  <si>
    <t>Scenario</t>
  </si>
  <si>
    <t>Sum of risks</t>
  </si>
  <si>
    <t>Sum of advantages</t>
  </si>
  <si>
    <t>Net effect on growth</t>
  </si>
  <si>
    <t>Worst case</t>
  </si>
  <si>
    <t>Total</t>
  </si>
  <si>
    <t>Optimistic (strong mitigation/execution)</t>
  </si>
  <si>
    <t>Most likely (after mitigation/execution)</t>
  </si>
  <si>
    <t>Most-likely Execution</t>
  </si>
  <si>
    <t>Execution Strength</t>
  </si>
  <si>
    <t>High</t>
  </si>
  <si>
    <t>Execution Likelihood (%)</t>
  </si>
  <si>
    <t>80–100%</t>
  </si>
  <si>
    <t>Strong operational track record, vertical integration, and proven ability to scale and deliver.</t>
  </si>
  <si>
    <t>50–70%</t>
  </si>
  <si>
    <t>Solid execution capability but subject to timing, regulatory, or resource constraints.</t>
  </si>
  <si>
    <t>Low</t>
  </si>
  <si>
    <t>20–40%</t>
  </si>
  <si>
    <t>Early-stage or uncertain initiatives with high dependence on external factors.</t>
  </si>
  <si>
    <t>Stong Mitigation (Assumes 65% for each)</t>
  </si>
  <si>
    <t>Strong Execution (Assumes 80%)</t>
  </si>
  <si>
    <t>Most Likely Adjusted Growth Rate</t>
  </si>
  <si>
    <t>Worst Case Growth Rate</t>
  </si>
  <si>
    <t>Best Case Growth Rate</t>
  </si>
  <si>
    <t>OPEX Effect</t>
  </si>
  <si>
    <t>Unadjusted Growth Rate (Based on  Historicals)</t>
  </si>
  <si>
    <t>Adjusted Growth Rate (Growth &amp; Risk Factors)</t>
  </si>
  <si>
    <t>Historical Revenue</t>
  </si>
  <si>
    <t>Linear Predicted Revenue ($B)</t>
  </si>
  <si>
    <t>YOY Growth Rates</t>
  </si>
  <si>
    <t>N/A</t>
  </si>
  <si>
    <t>Color</t>
  </si>
  <si>
    <t>Description</t>
  </si>
  <si>
    <t>HEX</t>
  </si>
  <si>
    <t>Tesla Red</t>
  </si>
  <si>
    <t>Signature red accent</t>
  </si>
  <si>
    <t>#E82127</t>
  </si>
  <si>
    <t>Jet Black</t>
  </si>
  <si>
    <t>Deep black used in logo/typography</t>
  </si>
  <si>
    <t>#111111</t>
  </si>
  <si>
    <t>Steel Gray</t>
  </si>
  <si>
    <t>Medium gray</t>
  </si>
  <si>
    <t>#666666</t>
  </si>
  <si>
    <t>Light Gray / Silver</t>
  </si>
  <si>
    <t>Background or accent</t>
  </si>
  <si>
    <t>#E5E5E5</t>
  </si>
  <si>
    <t>White</t>
  </si>
  <si>
    <t>Clean base color</t>
  </si>
  <si>
    <t>#FFFFFF</t>
  </si>
  <si>
    <t>Linked Cells</t>
  </si>
  <si>
    <t>Cells you need to fill manually (input assumptions or drivers).</t>
  </si>
  <si>
    <t>Pre-filled data that is fixed or used as a reference by other cells.</t>
  </si>
  <si>
    <t>Formula cells that will auto-populate based on linked inputs.</t>
  </si>
  <si>
    <t>Hard Coded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</si>
</sst>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0"/>
    <numFmt numFmtId="166" formatCode="0.0%"/>
  </numFmts>
  <fonts count="24">
    <font>
      <sz val="9"/>
      <name val="Geneva"/>
      <family val="2"/>
    </font>
    <font>
      <sz val="9"/>
      <name val="Geneva"/>
      <family val="2"/>
    </font>
    <font>
      <sz val="8"/>
      <name val="돋움"/>
      <family val="3"/>
    </font>
    <font>
      <sz val="8"/>
      <name val="Verdana"/>
      <family val="2"/>
    </font>
    <font>
      <sz val="12"/>
      <name val="Times"/>
      <family val="1"/>
    </font>
    <font>
      <i/>
      <sz val="12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u/>
      <sz val="12"/>
      <name val="Times New Roman"/>
      <family val="1"/>
    </font>
    <font>
      <sz val="12"/>
      <color rgb="FFFF0000"/>
      <name val="Times New Roman"/>
      <family val="1"/>
    </font>
    <font>
      <b/>
      <sz val="9"/>
      <name val="Times New Roman"/>
      <family val="1"/>
    </font>
    <font>
      <b/>
      <sz val="9"/>
      <name val="Geneva"/>
      <family val="2"/>
    </font>
    <font>
      <b/>
      <sz val="9"/>
      <name val="Geneva"/>
      <family val="2"/>
    </font>
    <font>
      <sz val="9"/>
      <name val="Geneva"/>
      <family val="2"/>
    </font>
    <font>
      <b/>
      <sz val="9"/>
      <color theme="0"/>
      <name val="Times New Roman"/>
      <family val="1"/>
    </font>
    <font>
      <sz val="10"/>
      <name val="Arial Unicode MS"/>
      <family val="2"/>
    </font>
    <font>
      <b/>
      <sz val="9"/>
      <color theme="0"/>
      <name val="Geneva"/>
      <family val="2"/>
    </font>
    <font>
      <b/>
      <sz val="9"/>
      <color theme="0"/>
      <name val="Geneva"/>
      <family val="2"/>
    </font>
    <font>
      <sz val="9"/>
      <color theme="0"/>
      <name val="Geneva"/>
      <family val="2"/>
    </font>
    <font>
      <b/>
      <i/>
      <sz val="12"/>
      <color theme="0"/>
      <name val="Times New Roman"/>
      <family val="1"/>
    </font>
    <font>
      <b/>
      <sz val="12"/>
      <color theme="0"/>
      <name val="Times New Roman"/>
      <family val="1"/>
    </font>
    <font>
      <sz val="12"/>
      <color rgb="FF009900"/>
      <name val="Times New Roman"/>
      <family val="1"/>
    </font>
    <font>
      <sz val="12"/>
      <color rgb="FF0000FF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2127"/>
        <bgColor indexed="64"/>
      </patternFill>
    </fill>
    <fill>
      <patternFill patternType="solid">
        <fgColor rgb="FFE5E5E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15" xfId="0" applyFont="1" applyBorder="1" applyAlignment="1">
      <alignment horizontal="center"/>
    </xf>
    <xf numFmtId="0" fontId="7" fillId="0" borderId="0" xfId="0" applyFont="1" applyAlignment="1">
      <alignment horizontal="center"/>
    </xf>
    <xf numFmtId="10" fontId="7" fillId="2" borderId="1" xfId="3" applyNumberFormat="1" applyFont="1" applyFill="1" applyBorder="1" applyAlignment="1">
      <alignment horizontal="center"/>
    </xf>
    <xf numFmtId="10" fontId="7" fillId="4" borderId="1" xfId="0" applyNumberFormat="1" applyFont="1" applyFill="1" applyBorder="1" applyAlignment="1">
      <alignment horizontal="center"/>
    </xf>
    <xf numFmtId="44" fontId="7" fillId="2" borderId="11" xfId="2" applyFont="1" applyFill="1" applyBorder="1"/>
    <xf numFmtId="44" fontId="7" fillId="3" borderId="1" xfId="2" applyFont="1" applyFill="1" applyBorder="1" applyAlignment="1">
      <alignment horizontal="center"/>
    </xf>
    <xf numFmtId="10" fontId="7" fillId="2" borderId="11" xfId="3" applyNumberFormat="1" applyFont="1" applyFill="1" applyBorder="1"/>
    <xf numFmtId="44" fontId="7" fillId="3" borderId="11" xfId="2" applyFont="1" applyFill="1" applyBorder="1" applyAlignment="1">
      <alignment horizontal="center"/>
    </xf>
    <xf numFmtId="10" fontId="7" fillId="2" borderId="11" xfId="2" applyNumberFormat="1" applyFont="1" applyFill="1" applyBorder="1"/>
    <xf numFmtId="2" fontId="7" fillId="4" borderId="1" xfId="0" applyNumberFormat="1" applyFont="1" applyFill="1" applyBorder="1" applyAlignment="1">
      <alignment horizontal="center"/>
    </xf>
    <xf numFmtId="0" fontId="8" fillId="0" borderId="18" xfId="0" applyFont="1" applyBorder="1"/>
    <xf numFmtId="0" fontId="7" fillId="0" borderId="18" xfId="0" applyFont="1" applyBorder="1" applyAlignment="1">
      <alignment horizontal="center"/>
    </xf>
    <xf numFmtId="10" fontId="7" fillId="4" borderId="1" xfId="3" applyNumberFormat="1" applyFont="1" applyFill="1" applyBorder="1" applyAlignment="1">
      <alignment horizontal="center"/>
    </xf>
    <xf numFmtId="165" fontId="7" fillId="4" borderId="1" xfId="0" applyNumberFormat="1" applyFont="1" applyFill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0" xfId="0" applyFont="1"/>
    <xf numFmtId="44" fontId="7" fillId="3" borderId="1" xfId="2" applyFont="1" applyFill="1" applyBorder="1"/>
    <xf numFmtId="10" fontId="7" fillId="4" borderId="1" xfId="3" applyNumberFormat="1" applyFont="1" applyFill="1" applyBorder="1"/>
    <xf numFmtId="0" fontId="9" fillId="0" borderId="3" xfId="0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44" fontId="7" fillId="3" borderId="1" xfId="0" applyNumberFormat="1" applyFont="1" applyFill="1" applyBorder="1"/>
    <xf numFmtId="10" fontId="7" fillId="2" borderId="6" xfId="3" applyNumberFormat="1" applyFont="1" applyFill="1" applyBorder="1" applyAlignment="1">
      <alignment horizontal="center"/>
    </xf>
    <xf numFmtId="10" fontId="7" fillId="5" borderId="6" xfId="3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0" borderId="9" xfId="0" applyFont="1" applyBorder="1" applyAlignment="1">
      <alignment horizontal="left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0" fontId="7" fillId="4" borderId="1" xfId="0" applyNumberFormat="1" applyFont="1" applyFill="1" applyBorder="1"/>
    <xf numFmtId="164" fontId="7" fillId="4" borderId="1" xfId="0" applyNumberFormat="1" applyFont="1" applyFill="1" applyBorder="1"/>
    <xf numFmtId="44" fontId="7" fillId="2" borderId="1" xfId="2" applyFont="1" applyFill="1" applyBorder="1"/>
    <xf numFmtId="43" fontId="7" fillId="4" borderId="1" xfId="1" applyFont="1" applyFill="1" applyBorder="1"/>
    <xf numFmtId="44" fontId="10" fillId="3" borderId="1" xfId="2" applyFont="1" applyFill="1" applyBorder="1"/>
    <xf numFmtId="0" fontId="8" fillId="0" borderId="0" xfId="0" applyFont="1"/>
    <xf numFmtId="0" fontId="11" fillId="0" borderId="15" xfId="0" applyFont="1" applyBorder="1"/>
    <xf numFmtId="0" fontId="11" fillId="0" borderId="11" xfId="0" applyFont="1" applyBorder="1"/>
    <xf numFmtId="0" fontId="11" fillId="0" borderId="1" xfId="0" applyFont="1" applyBorder="1"/>
    <xf numFmtId="0" fontId="8" fillId="0" borderId="13" xfId="0" applyFont="1" applyBorder="1"/>
    <xf numFmtId="0" fontId="8" fillId="0" borderId="14" xfId="0" applyFont="1" applyBorder="1"/>
    <xf numFmtId="0" fontId="8" fillId="0" borderId="20" xfId="0" applyFont="1" applyBorder="1"/>
    <xf numFmtId="0" fontId="8" fillId="0" borderId="21" xfId="0" applyFont="1" applyBorder="1"/>
    <xf numFmtId="0" fontId="8" fillId="0" borderId="17" xfId="0" applyFont="1" applyBorder="1"/>
    <xf numFmtId="0" fontId="8" fillId="0" borderId="19" xfId="0" applyFont="1" applyBorder="1"/>
    <xf numFmtId="0" fontId="11" fillId="0" borderId="20" xfId="0" applyFont="1" applyBorder="1"/>
    <xf numFmtId="0" fontId="11" fillId="0" borderId="21" xfId="0" applyFont="1" applyBorder="1"/>
    <xf numFmtId="9" fontId="8" fillId="0" borderId="18" xfId="0" applyNumberFormat="1" applyFont="1" applyBorder="1"/>
    <xf numFmtId="0" fontId="8" fillId="0" borderId="1" xfId="0" applyFont="1" applyBorder="1" applyAlignment="1">
      <alignment horizontal="left"/>
    </xf>
    <xf numFmtId="2" fontId="8" fillId="0" borderId="1" xfId="0" applyNumberFormat="1" applyFont="1" applyBorder="1"/>
    <xf numFmtId="10" fontId="0" fillId="0" borderId="0" xfId="0" applyNumberFormat="1"/>
    <xf numFmtId="0" fontId="0" fillId="0" borderId="0" xfId="0" applyAlignment="1">
      <alignment horizontal="left"/>
    </xf>
    <xf numFmtId="10" fontId="0" fillId="0" borderId="17" xfId="0" applyNumberFormat="1" applyBorder="1"/>
    <xf numFmtId="0" fontId="0" fillId="0" borderId="0" xfId="0" applyAlignment="1">
      <alignment horizontal="left" vertical="center"/>
    </xf>
    <xf numFmtId="10" fontId="0" fillId="0" borderId="1" xfId="0" applyNumberFormat="1" applyBorder="1" applyAlignment="1">
      <alignment vertical="center"/>
    </xf>
    <xf numFmtId="9" fontId="0" fillId="0" borderId="1" xfId="3" applyFont="1" applyBorder="1"/>
    <xf numFmtId="10" fontId="13" fillId="0" borderId="1" xfId="0" applyNumberFormat="1" applyFont="1" applyBorder="1"/>
    <xf numFmtId="10" fontId="14" fillId="0" borderId="1" xfId="0" applyNumberFormat="1" applyFont="1" applyBorder="1" applyAlignment="1">
      <alignment horizontal="left" vertical="center"/>
    </xf>
    <xf numFmtId="10" fontId="0" fillId="0" borderId="1" xfId="3" applyNumberFormat="1" applyFont="1" applyBorder="1"/>
    <xf numFmtId="0" fontId="13" fillId="0" borderId="1" xfId="0" applyFont="1" applyBorder="1"/>
    <xf numFmtId="10" fontId="0" fillId="0" borderId="1" xfId="0" applyNumberForma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10" fontId="0" fillId="0" borderId="18" xfId="0" applyNumberFormat="1" applyBorder="1"/>
    <xf numFmtId="10" fontId="0" fillId="6" borderId="0" xfId="0" applyNumberFormat="1" applyFill="1"/>
    <xf numFmtId="10" fontId="0" fillId="6" borderId="18" xfId="0" applyNumberFormat="1" applyFill="1" applyBorder="1"/>
    <xf numFmtId="10" fontId="0" fillId="0" borderId="20" xfId="0" applyNumberFormat="1" applyBorder="1"/>
    <xf numFmtId="10" fontId="0" fillId="6" borderId="20" xfId="0" applyNumberFormat="1" applyFill="1" applyBorder="1"/>
    <xf numFmtId="10" fontId="0" fillId="0" borderId="21" xfId="0" applyNumberFormat="1" applyBorder="1"/>
    <xf numFmtId="10" fontId="0" fillId="0" borderId="22" xfId="0" applyNumberFormat="1" applyBorder="1"/>
    <xf numFmtId="10" fontId="0" fillId="0" borderId="16" xfId="0" applyNumberFormat="1" applyBorder="1"/>
    <xf numFmtId="10" fontId="0" fillId="0" borderId="23" xfId="0" applyNumberFormat="1" applyBorder="1"/>
    <xf numFmtId="10" fontId="0" fillId="0" borderId="19" xfId="0" applyNumberFormat="1" applyBorder="1"/>
    <xf numFmtId="10" fontId="8" fillId="0" borderId="1" xfId="3" applyNumberFormat="1" applyFont="1" applyBorder="1" applyAlignment="1">
      <alignment horizontal="left"/>
    </xf>
    <xf numFmtId="10" fontId="8" fillId="0" borderId="1" xfId="3" applyNumberFormat="1" applyFont="1" applyBorder="1"/>
    <xf numFmtId="0" fontId="0" fillId="7" borderId="0" xfId="0" applyFill="1"/>
    <xf numFmtId="0" fontId="15" fillId="8" borderId="1" xfId="0" applyFont="1" applyFill="1" applyBorder="1" applyAlignment="1">
      <alignment horizontal="left"/>
    </xf>
    <xf numFmtId="0" fontId="15" fillId="8" borderId="11" xfId="0" applyFont="1" applyFill="1" applyBorder="1"/>
    <xf numFmtId="0" fontId="15" fillId="8" borderId="1" xfId="0" applyFont="1" applyFill="1" applyBorder="1"/>
    <xf numFmtId="0" fontId="8" fillId="9" borderId="20" xfId="0" applyFont="1" applyFill="1" applyBorder="1" applyAlignment="1">
      <alignment horizontal="left"/>
    </xf>
    <xf numFmtId="0" fontId="8" fillId="9" borderId="0" xfId="0" applyFont="1" applyFill="1" applyAlignment="1">
      <alignment horizontal="left"/>
    </xf>
    <xf numFmtId="0" fontId="8" fillId="9" borderId="18" xfId="0" applyFont="1" applyFill="1" applyBorder="1" applyAlignment="1">
      <alignment horizontal="left"/>
    </xf>
    <xf numFmtId="0" fontId="8" fillId="9" borderId="12" xfId="0" applyFont="1" applyFill="1" applyBorder="1"/>
    <xf numFmtId="10" fontId="8" fillId="9" borderId="13" xfId="3" applyNumberFormat="1" applyFont="1" applyFill="1" applyBorder="1"/>
    <xf numFmtId="0" fontId="8" fillId="9" borderId="21" xfId="0" applyFont="1" applyFill="1" applyBorder="1" applyAlignment="1">
      <alignment horizontal="left"/>
    </xf>
    <xf numFmtId="0" fontId="8" fillId="9" borderId="17" xfId="0" applyFont="1" applyFill="1" applyBorder="1" applyAlignment="1">
      <alignment horizontal="left"/>
    </xf>
    <xf numFmtId="0" fontId="8" fillId="9" borderId="19" xfId="0" applyFont="1" applyFill="1" applyBorder="1" applyAlignment="1">
      <alignment horizontal="left"/>
    </xf>
    <xf numFmtId="10" fontId="8" fillId="9" borderId="14" xfId="3" applyNumberFormat="1" applyFont="1" applyFill="1" applyBorder="1"/>
    <xf numFmtId="0" fontId="15" fillId="8" borderId="20" xfId="0" applyFont="1" applyFill="1" applyBorder="1" applyAlignment="1">
      <alignment horizontal="left"/>
    </xf>
    <xf numFmtId="0" fontId="8" fillId="9" borderId="22" xfId="0" applyFont="1" applyFill="1" applyBorder="1" applyAlignment="1">
      <alignment horizontal="left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2" fillId="9" borderId="20" xfId="0" applyFont="1" applyFill="1" applyBorder="1" applyAlignment="1">
      <alignment vertical="center"/>
    </xf>
    <xf numFmtId="0" fontId="0" fillId="9" borderId="0" xfId="0" applyFill="1" applyAlignment="1">
      <alignment vertical="center"/>
    </xf>
    <xf numFmtId="0" fontId="16" fillId="9" borderId="18" xfId="0" applyFont="1" applyFill="1" applyBorder="1" applyAlignment="1">
      <alignment vertical="center"/>
    </xf>
    <xf numFmtId="0" fontId="12" fillId="9" borderId="21" xfId="0" applyFont="1" applyFill="1" applyBorder="1" applyAlignment="1">
      <alignment vertical="center"/>
    </xf>
    <xf numFmtId="0" fontId="0" fillId="9" borderId="17" xfId="0" applyFill="1" applyBorder="1" applyAlignment="1">
      <alignment vertical="center"/>
    </xf>
    <xf numFmtId="0" fontId="16" fillId="9" borderId="19" xfId="0" applyFont="1" applyFill="1" applyBorder="1" applyAlignment="1">
      <alignment vertical="center"/>
    </xf>
    <xf numFmtId="0" fontId="17" fillId="8" borderId="15" xfId="0" applyFont="1" applyFill="1" applyBorder="1" applyAlignment="1">
      <alignment horizontal="left" vertical="center"/>
    </xf>
    <xf numFmtId="0" fontId="17" fillId="8" borderId="2" xfId="0" applyFont="1" applyFill="1" applyBorder="1" applyAlignment="1">
      <alignment horizontal="left" vertical="center"/>
    </xf>
    <xf numFmtId="0" fontId="17" fillId="8" borderId="11" xfId="0" applyFont="1" applyFill="1" applyBorder="1" applyAlignment="1">
      <alignment horizontal="left" vertical="center"/>
    </xf>
    <xf numFmtId="0" fontId="18" fillId="8" borderId="15" xfId="0" applyFont="1" applyFill="1" applyBorder="1"/>
    <xf numFmtId="0" fontId="19" fillId="8" borderId="15" xfId="0" applyFont="1" applyFill="1" applyBorder="1"/>
    <xf numFmtId="0" fontId="19" fillId="8" borderId="2" xfId="0" applyFont="1" applyFill="1" applyBorder="1"/>
    <xf numFmtId="0" fontId="19" fillId="8" borderId="11" xfId="0" applyFont="1" applyFill="1" applyBorder="1"/>
    <xf numFmtId="0" fontId="13" fillId="9" borderId="20" xfId="0" applyFont="1" applyFill="1" applyBorder="1"/>
    <xf numFmtId="0" fontId="14" fillId="9" borderId="20" xfId="0" applyFont="1" applyFill="1" applyBorder="1" applyAlignment="1">
      <alignment horizontal="left" indent="1"/>
    </xf>
    <xf numFmtId="0" fontId="14" fillId="9" borderId="21" xfId="0" applyFont="1" applyFill="1" applyBorder="1" applyAlignment="1">
      <alignment horizontal="left" indent="1"/>
    </xf>
    <xf numFmtId="0" fontId="20" fillId="8" borderId="1" xfId="0" applyFont="1" applyFill="1" applyBorder="1" applyAlignment="1">
      <alignment horizontal="center"/>
    </xf>
    <xf numFmtId="0" fontId="21" fillId="8" borderId="1" xfId="0" applyFont="1" applyFill="1" applyBorder="1" applyAlignment="1">
      <alignment horizontal="center"/>
    </xf>
    <xf numFmtId="0" fontId="7" fillId="9" borderId="1" xfId="0" applyFont="1" applyFill="1" applyBorder="1"/>
    <xf numFmtId="10" fontId="22" fillId="0" borderId="1" xfId="3" applyNumberFormat="1" applyFont="1" applyFill="1" applyBorder="1" applyAlignment="1">
      <alignment horizontal="center"/>
    </xf>
    <xf numFmtId="44" fontId="7" fillId="0" borderId="1" xfId="2" applyFont="1" applyFill="1" applyBorder="1" applyAlignment="1">
      <alignment horizontal="center"/>
    </xf>
    <xf numFmtId="44" fontId="22" fillId="0" borderId="11" xfId="2" applyFont="1" applyFill="1" applyBorder="1"/>
    <xf numFmtId="10" fontId="22" fillId="0" borderId="11" xfId="3" applyNumberFormat="1" applyFont="1" applyFill="1" applyBorder="1"/>
    <xf numFmtId="44" fontId="7" fillId="0" borderId="11" xfId="2" applyFont="1" applyFill="1" applyBorder="1" applyAlignment="1">
      <alignment horizontal="center"/>
    </xf>
    <xf numFmtId="10" fontId="22" fillId="0" borderId="11" xfId="2" applyNumberFormat="1" applyFont="1" applyFill="1" applyBorder="1"/>
    <xf numFmtId="2" fontId="23" fillId="0" borderId="1" xfId="0" applyNumberFormat="1" applyFont="1" applyBorder="1" applyAlignment="1">
      <alignment horizontal="center"/>
    </xf>
    <xf numFmtId="10" fontId="23" fillId="0" borderId="1" xfId="3" applyNumberFormat="1" applyFont="1" applyFill="1" applyBorder="1" applyAlignment="1">
      <alignment horizontal="center"/>
    </xf>
    <xf numFmtId="165" fontId="23" fillId="0" borderId="1" xfId="0" applyNumberFormat="1" applyFont="1" applyBorder="1" applyAlignment="1">
      <alignment horizontal="center"/>
    </xf>
    <xf numFmtId="10" fontId="23" fillId="0" borderId="1" xfId="0" applyNumberFormat="1" applyFont="1" applyBorder="1" applyAlignment="1">
      <alignment horizontal="center"/>
    </xf>
    <xf numFmtId="44" fontId="7" fillId="0" borderId="1" xfId="2" applyFont="1" applyFill="1" applyBorder="1"/>
    <xf numFmtId="10" fontId="23" fillId="0" borderId="1" xfId="3" applyNumberFormat="1" applyFont="1" applyFill="1" applyBorder="1"/>
    <xf numFmtId="44" fontId="7" fillId="0" borderId="1" xfId="0" applyNumberFormat="1" applyFont="1" applyBorder="1"/>
    <xf numFmtId="10" fontId="23" fillId="0" borderId="1" xfId="0" applyNumberFormat="1" applyFont="1" applyBorder="1"/>
    <xf numFmtId="164" fontId="23" fillId="0" borderId="1" xfId="0" applyNumberFormat="1" applyFont="1" applyBorder="1"/>
    <xf numFmtId="43" fontId="23" fillId="0" borderId="1" xfId="1" applyFont="1" applyFill="1" applyBorder="1"/>
    <xf numFmtId="44" fontId="22" fillId="0" borderId="1" xfId="2" applyFont="1" applyFill="1" applyBorder="1"/>
    <xf numFmtId="0" fontId="8" fillId="9" borderId="13" xfId="0" applyFont="1" applyFill="1" applyBorder="1"/>
    <xf numFmtId="42" fontId="8" fillId="9" borderId="13" xfId="0" applyNumberFormat="1" applyFont="1" applyFill="1" applyBorder="1"/>
    <xf numFmtId="10" fontId="8" fillId="9" borderId="13" xfId="0" applyNumberFormat="1" applyFont="1" applyFill="1" applyBorder="1"/>
    <xf numFmtId="0" fontId="8" fillId="9" borderId="14" xfId="0" applyFont="1" applyFill="1" applyBorder="1"/>
    <xf numFmtId="42" fontId="8" fillId="9" borderId="14" xfId="0" applyNumberFormat="1" applyFont="1" applyFill="1" applyBorder="1"/>
    <xf numFmtId="0" fontId="17" fillId="8" borderId="1" xfId="0" applyFont="1" applyFill="1" applyBorder="1" applyAlignment="1">
      <alignment horizontal="left" vertical="center"/>
    </xf>
    <xf numFmtId="0" fontId="12" fillId="9" borderId="20" xfId="0" applyFont="1" applyFill="1" applyBorder="1" applyAlignment="1">
      <alignment horizontal="left" vertical="center"/>
    </xf>
    <xf numFmtId="166" fontId="0" fillId="9" borderId="0" xfId="0" applyNumberFormat="1" applyFill="1" applyAlignment="1">
      <alignment horizontal="left" vertical="center"/>
    </xf>
    <xf numFmtId="9" fontId="0" fillId="9" borderId="0" xfId="0" applyNumberFormat="1" applyFill="1" applyAlignment="1">
      <alignment horizontal="left" vertical="center"/>
    </xf>
    <xf numFmtId="10" fontId="0" fillId="9" borderId="0" xfId="0" applyNumberFormat="1" applyFill="1" applyAlignment="1">
      <alignment horizontal="left" vertical="center"/>
    </xf>
    <xf numFmtId="0" fontId="12" fillId="9" borderId="21" xfId="0" applyFont="1" applyFill="1" applyBorder="1" applyAlignment="1">
      <alignment horizontal="left" vertical="center"/>
    </xf>
    <xf numFmtId="9" fontId="0" fillId="9" borderId="17" xfId="0" applyNumberFormat="1" applyFill="1" applyBorder="1" applyAlignment="1">
      <alignment horizontal="left" vertical="center"/>
    </xf>
    <xf numFmtId="10" fontId="0" fillId="9" borderId="17" xfId="0" applyNumberFormat="1" applyFill="1" applyBorder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9" borderId="17" xfId="0" applyFill="1" applyBorder="1" applyAlignment="1">
      <alignment horizontal="left" vertical="center"/>
    </xf>
    <xf numFmtId="0" fontId="13" fillId="0" borderId="14" xfId="0" applyFont="1" applyBorder="1" applyAlignment="1">
      <alignment horizontal="left"/>
    </xf>
    <xf numFmtId="10" fontId="13" fillId="0" borderId="14" xfId="0" applyNumberFormat="1" applyFont="1" applyBorder="1"/>
    <xf numFmtId="9" fontId="13" fillId="0" borderId="14" xfId="0" applyNumberFormat="1" applyFont="1" applyBorder="1"/>
    <xf numFmtId="166" fontId="0" fillId="9" borderId="17" xfId="0" applyNumberFormat="1" applyFill="1" applyBorder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0" fontId="0" fillId="9" borderId="18" xfId="0" applyFill="1" applyBorder="1" applyAlignment="1">
      <alignment horizontal="left" vertical="center"/>
    </xf>
    <xf numFmtId="0" fontId="14" fillId="9" borderId="17" xfId="0" applyFont="1" applyFill="1" applyBorder="1" applyAlignment="1">
      <alignment horizontal="left" vertical="center"/>
    </xf>
    <xf numFmtId="0" fontId="0" fillId="9" borderId="19" xfId="0" applyFill="1" applyBorder="1" applyAlignment="1">
      <alignment horizontal="left" vertical="center"/>
    </xf>
    <xf numFmtId="10" fontId="22" fillId="0" borderId="6" xfId="3" applyNumberFormat="1" applyFont="1" applyFill="1" applyBorder="1" applyAlignment="1">
      <alignment horizontal="left"/>
    </xf>
    <xf numFmtId="10" fontId="23" fillId="0" borderId="6" xfId="3" applyNumberFormat="1" applyFont="1" applyFill="1" applyBorder="1" applyAlignment="1">
      <alignment horizontal="left"/>
    </xf>
    <xf numFmtId="0" fontId="7" fillId="0" borderId="8" xfId="0" applyFont="1" applyBorder="1" applyAlignment="1">
      <alignment horizontal="left"/>
    </xf>
    <xf numFmtId="44" fontId="6" fillId="0" borderId="1" xfId="2" applyFont="1" applyFill="1" applyBorder="1"/>
    <xf numFmtId="0" fontId="8" fillId="9" borderId="17" xfId="0" applyFont="1" applyFill="1" applyBorder="1" applyAlignment="1">
      <alignment horizontal="center"/>
    </xf>
    <xf numFmtId="0" fontId="8" fillId="9" borderId="19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  <xf numFmtId="0" fontId="8" fillId="9" borderId="18" xfId="0" applyFont="1" applyFill="1" applyBorder="1" applyAlignment="1">
      <alignment horizontal="center"/>
    </xf>
    <xf numFmtId="0" fontId="15" fillId="8" borderId="2" xfId="0" applyFont="1" applyFill="1" applyBorder="1" applyAlignment="1">
      <alignment horizontal="center"/>
    </xf>
    <xf numFmtId="0" fontId="15" fillId="8" borderId="11" xfId="0" applyFont="1" applyFill="1" applyBorder="1" applyAlignment="1">
      <alignment horizontal="center"/>
    </xf>
    <xf numFmtId="0" fontId="8" fillId="9" borderId="16" xfId="0" applyFont="1" applyFill="1" applyBorder="1" applyAlignment="1">
      <alignment horizontal="center"/>
    </xf>
    <xf numFmtId="0" fontId="8" fillId="9" borderId="23" xfId="0" applyFont="1" applyFill="1" applyBorder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009900"/>
      <color rgb="FFE5E5E5"/>
      <color rgb="FFE821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E82127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Log Predicted Revenue ($B</a:t>
            </a:r>
            <a:r>
              <a:rPr lang="en-US" b="1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'Unadjusted Growth Rate (Calc)'!$D$13</c:f>
              <c:strCache>
                <c:ptCount val="1"/>
                <c:pt idx="0">
                  <c:v>Linear Predicted Revenue ($B)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forward val="5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forward val="10"/>
            <c:dispRSqr val="0"/>
            <c:dispEq val="1"/>
            <c:trendlineLbl>
              <c:layout>
                <c:manualLayout>
                  <c:x val="1.0605971317488595E-2"/>
                  <c:y val="0.1121106736657917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40.583ln(x) - 25.173</a:t>
                    </a:r>
                    <a:endParaRPr lang="en-US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'Unadjusted Growth Rate (Calc)'!$B$2:$B$12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'Unadjusted Growth Rate (Calc)'!$C$2:$C$12</c:f>
              <c:numCache>
                <c:formatCode>General</c:formatCode>
                <c:ptCount val="11"/>
                <c:pt idx="0">
                  <c:v>3.2</c:v>
                </c:pt>
                <c:pt idx="1">
                  <c:v>4</c:v>
                </c:pt>
                <c:pt idx="2">
                  <c:v>7</c:v>
                </c:pt>
                <c:pt idx="3">
                  <c:v>11.8</c:v>
                </c:pt>
                <c:pt idx="4">
                  <c:v>21.5</c:v>
                </c:pt>
                <c:pt idx="5">
                  <c:v>24.6</c:v>
                </c:pt>
                <c:pt idx="6">
                  <c:v>31.5</c:v>
                </c:pt>
                <c:pt idx="7">
                  <c:v>53.8</c:v>
                </c:pt>
                <c:pt idx="8">
                  <c:v>81.5</c:v>
                </c:pt>
                <c:pt idx="9">
                  <c:v>96.8</c:v>
                </c:pt>
                <c:pt idx="10">
                  <c:v>97.69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45-4808-A096-0792D161C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819759"/>
        <c:axId val="979810159"/>
      </c:scatterChart>
      <c:valAx>
        <c:axId val="979819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810159"/>
        <c:crosses val="autoZero"/>
        <c:crossBetween val="midCat"/>
      </c:valAx>
      <c:valAx>
        <c:axId val="97981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819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b="1" baseline="0">
                <a:solidFill>
                  <a:srgbClr val="E82127"/>
                </a:solidFill>
                <a:latin typeface="Times New Roman" panose="02020603050405020304" pitchFamily="18" charset="0"/>
              </a:rPr>
              <a:t>Linear Predicted Rev ($B</a:t>
            </a:r>
            <a:r>
              <a:rPr lang="en-US" b="1" baseline="0">
                <a:latin typeface="Times New Roman" panose="02020603050405020304" pitchFamily="18" charset="0"/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'Unadjusted Growth Rate (Calc)'!$C$1</c:f>
              <c:strCache>
                <c:ptCount val="1"/>
                <c:pt idx="0">
                  <c:v>Historical Revenue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10"/>
            <c:dispRSqr val="0"/>
            <c:dispEq val="1"/>
            <c:trendlineLbl>
              <c:layout>
                <c:manualLayout>
                  <c:x val="-5.8954799136846604E-3"/>
                  <c:y val="0.2020895304753572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10.556x - 23.936</a:t>
                    </a:r>
                    <a:endParaRPr lang="en-US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'Unadjusted Growth Rate (Calc)'!$B$2:$B$12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'Unadjusted Growth Rate (Calc)'!$C$2:$C$12</c:f>
              <c:numCache>
                <c:formatCode>General</c:formatCode>
                <c:ptCount val="11"/>
                <c:pt idx="0">
                  <c:v>3.2</c:v>
                </c:pt>
                <c:pt idx="1">
                  <c:v>4</c:v>
                </c:pt>
                <c:pt idx="2">
                  <c:v>7</c:v>
                </c:pt>
                <c:pt idx="3">
                  <c:v>11.8</c:v>
                </c:pt>
                <c:pt idx="4">
                  <c:v>21.5</c:v>
                </c:pt>
                <c:pt idx="5">
                  <c:v>24.6</c:v>
                </c:pt>
                <c:pt idx="6">
                  <c:v>31.5</c:v>
                </c:pt>
                <c:pt idx="7">
                  <c:v>53.8</c:v>
                </c:pt>
                <c:pt idx="8">
                  <c:v>81.5</c:v>
                </c:pt>
                <c:pt idx="9">
                  <c:v>96.8</c:v>
                </c:pt>
                <c:pt idx="10">
                  <c:v>97.69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A4-4E90-AD65-7CF8CCBF9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952991"/>
        <c:axId val="1164953471"/>
      </c:scatterChart>
      <c:valAx>
        <c:axId val="116495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953471"/>
        <c:crosses val="autoZero"/>
        <c:crossBetween val="midCat"/>
      </c:valAx>
      <c:valAx>
        <c:axId val="116495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952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28</xdr:row>
      <xdr:rowOff>13335</xdr:rowOff>
    </xdr:from>
    <xdr:to>
      <xdr:col>6</xdr:col>
      <xdr:colOff>74295</xdr:colOff>
      <xdr:row>46</xdr:row>
      <xdr:rowOff>13335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C7C160-D5B2-E9EE-7004-13176AD45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561974</xdr:colOff>
      <xdr:row>26</xdr:row>
      <xdr:rowOff>52388</xdr:rowOff>
    </xdr:from>
    <xdr:to>
      <xdr:col>15</xdr:col>
      <xdr:colOff>285749</xdr:colOff>
      <xdr:row>44</xdr:row>
      <xdr:rowOff>52388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7C21A2-6581-6EE0-E2C6-F9E9A0633E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12</xdr:row>
      <xdr:rowOff>83820</xdr:rowOff>
    </xdr:from>
    <xdr:to>
      <xdr:col>21</xdr:col>
      <xdr:colOff>99060</xdr:colOff>
      <xdr:row>26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A1A8FD-C161-FD37-8F54-D024B96521F0}"/>
            </a:ext>
          </a:extLst>
        </xdr:cNvPr>
        <xdr:cNvSpPr txBox="1"/>
      </xdr:nvSpPr>
      <xdr:spPr>
        <a:xfrm>
          <a:off x="2880360" y="1821180"/>
          <a:ext cx="8740140" cy="1943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800" b="1"/>
            <a:t>Placeholder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146685</xdr:colOff>
      <xdr:row>16</xdr:row>
      <xdr:rowOff>53340</xdr:rowOff>
    </xdr:from>
    <xdr:to>
      <xdr:col>16</xdr:col>
      <xdr:colOff>403665</xdr:colOff>
      <xdr:row>54</xdr:row>
      <xdr:rowOff>30480</xdr:rowOff>
    </xdr:to>
    <xdr:pic>
      <xdr:nvPicPr>
        <xdr:cNvPr id="22" name="Picture 8">
          <a:extLst>
            <a:ext uri="{FF2B5EF4-FFF2-40B4-BE49-F238E27FC236}">
              <a16:creationId xmlns:a16="http://schemas.microsoft.com/office/drawing/2014/main" id="{75EF1277-9C6B-4F40-E4EC-E40E04768C04}"/>
            </a:ext>
            <a:ext uri="{147F2762-F138-4A5C-976F-8EAC2B608ADB}">
              <a16:predDERef xmlns:a16="http://schemas.microsoft.com/office/drawing/2014/main" pred="{1E71D0B9-C320-D00D-7CB7-18F1EA951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3965" y="2369820"/>
          <a:ext cx="7937940" cy="547878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22949-08C2-4D67-9512-884CA81D83A3}">
  <dimension ref="A1:E6"/>
  <sheetViews>
    <sheetView showGridLines="0" workbookViewId="0">
      <selection activeCell="C5" sqref="C5"/>
    </sheetView>
  </sheetViews>
  <sheetFormatPr baseColWidth="10" defaultColWidth="8.83203125" defaultRowHeight="13"/>
  <cols>
    <col min="1" max="1" width="16.83203125" bestFit="1" customWidth="1"/>
    <col min="2" max="2" width="30.1640625" bestFit="1" customWidth="1"/>
    <col min="3" max="3" width="9.6640625" bestFit="1" customWidth="1"/>
    <col min="4" max="4" width="13.1640625" bestFit="1" customWidth="1"/>
    <col min="5" max="5" width="11.1640625" bestFit="1" customWidth="1"/>
  </cols>
  <sheetData>
    <row r="1" spans="1:5">
      <c r="A1" s="105" t="s">
        <v>126</v>
      </c>
      <c r="B1" s="106" t="s">
        <v>127</v>
      </c>
      <c r="C1" s="107" t="s">
        <v>128</v>
      </c>
      <c r="D1" s="97"/>
      <c r="E1" s="97"/>
    </row>
    <row r="2" spans="1:5" ht="16">
      <c r="A2" s="99" t="s">
        <v>129</v>
      </c>
      <c r="B2" s="100" t="s">
        <v>130</v>
      </c>
      <c r="C2" s="101" t="s">
        <v>131</v>
      </c>
      <c r="D2" s="98"/>
      <c r="E2" s="98"/>
    </row>
    <row r="3" spans="1:5" ht="16">
      <c r="A3" s="99" t="s">
        <v>132</v>
      </c>
      <c r="B3" s="100" t="s">
        <v>133</v>
      </c>
      <c r="C3" s="101" t="s">
        <v>134</v>
      </c>
      <c r="D3" s="98"/>
      <c r="E3" s="98"/>
    </row>
    <row r="4" spans="1:5" ht="16">
      <c r="A4" s="99" t="s">
        <v>135</v>
      </c>
      <c r="B4" s="100" t="s">
        <v>136</v>
      </c>
      <c r="C4" s="101" t="s">
        <v>137</v>
      </c>
      <c r="D4" s="98"/>
      <c r="E4" s="98"/>
    </row>
    <row r="5" spans="1:5" ht="16">
      <c r="A5" s="99" t="s">
        <v>138</v>
      </c>
      <c r="B5" s="100" t="s">
        <v>139</v>
      </c>
      <c r="C5" s="101" t="s">
        <v>140</v>
      </c>
      <c r="D5" s="98"/>
      <c r="E5" s="98"/>
    </row>
    <row r="6" spans="1:5" ht="16">
      <c r="A6" s="102" t="s">
        <v>141</v>
      </c>
      <c r="B6" s="103" t="s">
        <v>142</v>
      </c>
      <c r="C6" s="104" t="s">
        <v>143</v>
      </c>
      <c r="D6" s="98"/>
      <c r="E6" s="9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6902-080E-4242-8A07-CCC1ACAAAE5D}">
  <sheetPr>
    <tabColor rgb="FF92D050"/>
  </sheetPr>
  <dimension ref="A1:M30"/>
  <sheetViews>
    <sheetView showGridLines="0" zoomScale="90" zoomScaleNormal="90" workbookViewId="0">
      <selection activeCell="E4" sqref="E4"/>
    </sheetView>
  </sheetViews>
  <sheetFormatPr baseColWidth="10" defaultColWidth="11.33203125" defaultRowHeight="16"/>
  <cols>
    <col min="1" max="1" width="30.1640625" style="1" bestFit="1" customWidth="1"/>
    <col min="2" max="2" width="15.5" style="1" bestFit="1" customWidth="1"/>
    <col min="3" max="5" width="15.5" style="2" bestFit="1" customWidth="1"/>
    <col min="6" max="6" width="15.6640625" style="2" bestFit="1" customWidth="1"/>
    <col min="7" max="12" width="15.5" style="2" bestFit="1" customWidth="1"/>
    <col min="13" max="13" width="16.83203125" style="2" bestFit="1" customWidth="1"/>
    <col min="14" max="14" width="12.6640625" bestFit="1" customWidth="1"/>
  </cols>
  <sheetData>
    <row r="1" spans="1:13">
      <c r="A1" s="3"/>
      <c r="B1" s="115" t="s">
        <v>0</v>
      </c>
      <c r="C1" s="115">
        <v>1</v>
      </c>
      <c r="D1" s="115">
        <v>2</v>
      </c>
      <c r="E1" s="115">
        <v>3</v>
      </c>
      <c r="F1" s="115">
        <v>4</v>
      </c>
      <c r="G1" s="115">
        <v>5</v>
      </c>
      <c r="H1" s="115">
        <v>6</v>
      </c>
      <c r="I1" s="115">
        <v>7</v>
      </c>
      <c r="J1" s="115">
        <v>8</v>
      </c>
      <c r="K1" s="115">
        <v>9</v>
      </c>
      <c r="L1" s="115">
        <v>10</v>
      </c>
      <c r="M1" s="116" t="s">
        <v>1</v>
      </c>
    </row>
    <row r="2" spans="1:13">
      <c r="A2" s="117" t="s">
        <v>2</v>
      </c>
      <c r="B2" s="4"/>
      <c r="C2" s="118">
        <f>'Assumptions&gt;&gt;&gt;'!B4</f>
        <v>8.6372907145604999E-2</v>
      </c>
      <c r="D2" s="118">
        <f>'Assumptions&gt;&gt;&gt;'!C4</f>
        <v>7.8954897286145811E-2</v>
      </c>
      <c r="E2" s="118">
        <f>'Assumptions&gt;&gt;&gt;'!D4</f>
        <v>7.2715370140299232E-2</v>
      </c>
      <c r="F2" s="118">
        <f>'Assumptions&gt;&gt;&gt;'!E4</f>
        <v>6.739494176972774E-2</v>
      </c>
      <c r="G2" s="118">
        <f>'Assumptions&gt;&gt;&gt;'!F4</f>
        <v>6.2805018262775819E-2</v>
      </c>
      <c r="H2" s="118">
        <f>'Assumptions&gt;&gt;&gt;'!G4</f>
        <v>5.8805215513676894E-2</v>
      </c>
      <c r="I2" s="118">
        <f>'Assumptions&gt;&gt;&gt;'!H4</f>
        <v>5.528889685758627E-2</v>
      </c>
      <c r="J2" s="118">
        <f>'Assumptions&gt;&gt;&gt;'!I4</f>
        <v>5.2173618162619666E-2</v>
      </c>
      <c r="K2" s="118">
        <f>'Assumptions&gt;&gt;&gt;'!J4</f>
        <v>4.7731780157230147E-2</v>
      </c>
      <c r="L2" s="118">
        <f>'Assumptions&gt;&gt;&gt;'!K4</f>
        <v>4.3715470013154595E-2</v>
      </c>
      <c r="M2" s="127">
        <v>0.04</v>
      </c>
    </row>
    <row r="3" spans="1:13" ht="15" customHeight="1">
      <c r="A3" s="117" t="s">
        <v>3</v>
      </c>
      <c r="B3" s="120">
        <f>'Inputs From 10k'!B2</f>
        <v>97690</v>
      </c>
      <c r="C3" s="119">
        <f>B3*(1+C2)</f>
        <v>106127.76929905415</v>
      </c>
      <c r="D3" s="119">
        <f t="shared" ref="D3:M3" si="0">C3*(1+D2)</f>
        <v>114507.07642326875</v>
      </c>
      <c r="E3" s="119">
        <f t="shared" si="0"/>
        <v>122833.50086907027</v>
      </c>
      <c r="F3" s="119">
        <f t="shared" si="0"/>
        <v>131111.85750751305</v>
      </c>
      <c r="G3" s="119">
        <f t="shared" si="0"/>
        <v>139346.34011273886</v>
      </c>
      <c r="H3" s="119">
        <f t="shared" si="0"/>
        <v>147540.6316741106</v>
      </c>
      <c r="I3" s="119">
        <f t="shared" si="0"/>
        <v>155697.99044104363</v>
      </c>
      <c r="J3" s="119">
        <f t="shared" si="0"/>
        <v>163821.31794300184</v>
      </c>
      <c r="K3" s="119">
        <f t="shared" si="0"/>
        <v>171640.80107612489</v>
      </c>
      <c r="L3" s="119">
        <f t="shared" si="0"/>
        <v>179144.15936860206</v>
      </c>
      <c r="M3" s="119">
        <f t="shared" si="0"/>
        <v>186309.92574334616</v>
      </c>
    </row>
    <row r="4" spans="1:13" ht="15" customHeight="1">
      <c r="A4" s="117" t="s">
        <v>4</v>
      </c>
      <c r="B4" s="121">
        <f>'Inputs From 10k'!B3</f>
        <v>7.2433207083631893E-2</v>
      </c>
      <c r="C4" s="121">
        <f>B4*(1+0.001)^C1</f>
        <v>7.2505640290715517E-2</v>
      </c>
      <c r="D4" s="121">
        <f>C4*(1+0.001)^D1</f>
        <v>7.265072407693722E-2</v>
      </c>
      <c r="E4" s="121">
        <f t="shared" ref="E4:L4" si="1">D4*(1+0.001)^E1</f>
        <v>7.2868894273990945E-2</v>
      </c>
      <c r="F4" s="121">
        <f>E4*(1+0.001)^F1</f>
        <v>7.3160807356000959E-2</v>
      </c>
      <c r="G4" s="121">
        <f t="shared" si="1"/>
        <v>7.3527343732828432E-2</v>
      </c>
      <c r="H4" s="121">
        <f t="shared" si="1"/>
        <v>7.396961217703156E-2</v>
      </c>
      <c r="I4" s="121">
        <f t="shared" si="1"/>
        <v>7.4488955415653341E-2</v>
      </c>
      <c r="J4" s="121">
        <f t="shared" si="1"/>
        <v>7.5086956926330037E-2</v>
      </c>
      <c r="K4" s="121">
        <f t="shared" si="1"/>
        <v>7.5765448985891076E-2</v>
      </c>
      <c r="L4" s="121">
        <f t="shared" si="1"/>
        <v>7.6526522028737984E-2</v>
      </c>
      <c r="M4" s="121">
        <f>L4*(1+0.001)^11</f>
        <v>7.737253538193084E-2</v>
      </c>
    </row>
    <row r="5" spans="1:13" ht="15" customHeight="1">
      <c r="A5" s="117" t="s">
        <v>5</v>
      </c>
      <c r="B5" s="122">
        <f>B3*B4</f>
        <v>7076</v>
      </c>
      <c r="C5" s="119">
        <f>C3*C4</f>
        <v>7694.8618656532626</v>
      </c>
      <c r="D5" s="119">
        <f t="shared" ref="D5:M5" si="2">D3*D4</f>
        <v>8319.0220140836609</v>
      </c>
      <c r="E5" s="119">
        <f t="shared" si="2"/>
        <v>8950.7413881324555</v>
      </c>
      <c r="F5" s="119">
        <f t="shared" si="2"/>
        <v>9592.2493491946097</v>
      </c>
      <c r="G5" s="119">
        <f t="shared" si="2"/>
        <v>10245.766247380969</v>
      </c>
      <c r="H5" s="119">
        <f>H3*H4</f>
        <v>10913.523305288219</v>
      </c>
      <c r="I5" s="119">
        <f t="shared" si="2"/>
        <v>11597.780668269719</v>
      </c>
      <c r="J5" s="119">
        <f t="shared" si="2"/>
        <v>12300.844244000797</v>
      </c>
      <c r="K5" s="119">
        <f t="shared" si="2"/>
        <v>13004.442357830618</v>
      </c>
      <c r="L5" s="119">
        <f t="shared" si="2"/>
        <v>13709.279458241073</v>
      </c>
      <c r="M5" s="119">
        <f t="shared" si="2"/>
        <v>14415.271321581959</v>
      </c>
    </row>
    <row r="6" spans="1:13" ht="15" customHeight="1">
      <c r="A6" s="117" t="s">
        <v>6</v>
      </c>
      <c r="B6" s="123">
        <f>'Inputs From 10k'!B4</f>
        <v>0.2</v>
      </c>
      <c r="C6" s="123">
        <v>0.25</v>
      </c>
      <c r="D6" s="123">
        <v>0.25</v>
      </c>
      <c r="E6" s="123">
        <v>0.25</v>
      </c>
      <c r="F6" s="123">
        <v>0.25</v>
      </c>
      <c r="G6" s="123">
        <v>0.25</v>
      </c>
      <c r="H6" s="123">
        <v>0.25</v>
      </c>
      <c r="I6" s="123">
        <v>0.25</v>
      </c>
      <c r="J6" s="123">
        <v>0.25</v>
      </c>
      <c r="K6" s="123">
        <v>0.25</v>
      </c>
      <c r="L6" s="123">
        <v>0.25</v>
      </c>
      <c r="M6" s="123">
        <v>0.25</v>
      </c>
    </row>
    <row r="7" spans="1:13" ht="15" customHeight="1">
      <c r="A7" s="117" t="s">
        <v>7</v>
      </c>
      <c r="B7" s="122">
        <f>B5*(1-B6)</f>
        <v>5660.8</v>
      </c>
      <c r="C7" s="119">
        <f>C5*(1-C6)</f>
        <v>5771.1463992399467</v>
      </c>
      <c r="D7" s="119">
        <f t="shared" ref="D7:M7" si="3">D5*(1-D6)</f>
        <v>6239.2665105627457</v>
      </c>
      <c r="E7" s="119">
        <f t="shared" si="3"/>
        <v>6713.0560410993421</v>
      </c>
      <c r="F7" s="119">
        <f t="shared" si="3"/>
        <v>7194.1870118959578</v>
      </c>
      <c r="G7" s="119">
        <f t="shared" si="3"/>
        <v>7684.3246855357265</v>
      </c>
      <c r="H7" s="119">
        <f t="shared" si="3"/>
        <v>8185.1424789661651</v>
      </c>
      <c r="I7" s="119">
        <f t="shared" si="3"/>
        <v>8698.3355012022894</v>
      </c>
      <c r="J7" s="119">
        <f t="shared" si="3"/>
        <v>9225.6331830005984</v>
      </c>
      <c r="K7" s="119">
        <f t="shared" si="3"/>
        <v>9753.3317683729638</v>
      </c>
      <c r="L7" s="119">
        <f t="shared" si="3"/>
        <v>10281.959593680805</v>
      </c>
      <c r="M7" s="119">
        <f t="shared" si="3"/>
        <v>10811.453491186468</v>
      </c>
    </row>
    <row r="8" spans="1:13" ht="15" customHeight="1">
      <c r="A8" s="117" t="s">
        <v>8</v>
      </c>
      <c r="B8" s="4"/>
      <c r="C8" s="124">
        <v>3</v>
      </c>
      <c r="D8" s="124">
        <v>3</v>
      </c>
      <c r="E8" s="124">
        <v>3</v>
      </c>
      <c r="F8" s="124">
        <v>3</v>
      </c>
      <c r="G8" s="124">
        <v>3</v>
      </c>
      <c r="H8" s="124">
        <v>2</v>
      </c>
      <c r="I8" s="124">
        <v>2</v>
      </c>
      <c r="J8" s="124">
        <v>2</v>
      </c>
      <c r="K8" s="124">
        <v>2</v>
      </c>
      <c r="L8" s="124">
        <v>2</v>
      </c>
      <c r="M8" s="13"/>
    </row>
    <row r="9" spans="1:13" ht="15" customHeight="1">
      <c r="A9" s="117" t="s">
        <v>9</v>
      </c>
      <c r="B9" s="4"/>
      <c r="C9" s="119">
        <f>(C3-B3)/C8</f>
        <v>2812.5897663513847</v>
      </c>
      <c r="D9" s="119">
        <f t="shared" ref="D9:L9" si="4">(D3-C3)/D8</f>
        <v>2793.1023747381987</v>
      </c>
      <c r="E9" s="119">
        <f t="shared" si="4"/>
        <v>2775.4748152671723</v>
      </c>
      <c r="F9" s="119">
        <f t="shared" si="4"/>
        <v>2759.4522128142612</v>
      </c>
      <c r="G9" s="119">
        <f t="shared" si="4"/>
        <v>2744.8275350752715</v>
      </c>
      <c r="H9" s="119">
        <f t="shared" si="4"/>
        <v>4097.1457806858671</v>
      </c>
      <c r="I9" s="119">
        <f t="shared" si="4"/>
        <v>4078.679383466515</v>
      </c>
      <c r="J9" s="119">
        <f t="shared" si="4"/>
        <v>4061.6637509791035</v>
      </c>
      <c r="K9" s="119">
        <f t="shared" si="4"/>
        <v>3909.7415665615263</v>
      </c>
      <c r="L9" s="119">
        <f t="shared" si="4"/>
        <v>3751.6791462385881</v>
      </c>
      <c r="M9" s="119">
        <f>M2/0.15*M7</f>
        <v>2883.0542643163917</v>
      </c>
    </row>
    <row r="10" spans="1:13" ht="15" customHeight="1">
      <c r="A10" s="117" t="s">
        <v>10</v>
      </c>
      <c r="B10" s="4"/>
      <c r="C10" s="119">
        <f>C7-C9</f>
        <v>2958.556632888562</v>
      </c>
      <c r="D10" s="119">
        <f t="shared" ref="D10:L10" si="5">D7-D9</f>
        <v>3446.164135824547</v>
      </c>
      <c r="E10" s="119">
        <f t="shared" si="5"/>
        <v>3937.5812258321698</v>
      </c>
      <c r="F10" s="119">
        <f t="shared" si="5"/>
        <v>4434.7347990816961</v>
      </c>
      <c r="G10" s="119">
        <f t="shared" si="5"/>
        <v>4939.4971504604546</v>
      </c>
      <c r="H10" s="119">
        <f t="shared" si="5"/>
        <v>4087.996698280298</v>
      </c>
      <c r="I10" s="119">
        <f t="shared" si="5"/>
        <v>4619.6561177357744</v>
      </c>
      <c r="J10" s="119">
        <f t="shared" si="5"/>
        <v>5163.9694320214949</v>
      </c>
      <c r="K10" s="119">
        <f t="shared" si="5"/>
        <v>5843.5902018114375</v>
      </c>
      <c r="L10" s="119">
        <f t="shared" si="5"/>
        <v>6530.2804474422173</v>
      </c>
      <c r="M10" s="119">
        <f>M7-M9</f>
        <v>7928.3992268700767</v>
      </c>
    </row>
    <row r="11" spans="1:13" ht="15" customHeight="1">
      <c r="A11" s="117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14"/>
    </row>
    <row r="12" spans="1:13" ht="15" customHeight="1">
      <c r="A12" s="117" t="s">
        <v>11</v>
      </c>
      <c r="B12" s="4"/>
      <c r="C12" s="125">
        <v>0.09</v>
      </c>
      <c r="D12" s="125">
        <f>C12-0.01/9</f>
        <v>8.8888888888888892E-2</v>
      </c>
      <c r="E12" s="125">
        <f t="shared" ref="E12:L12" si="6">D12-0.01/9</f>
        <v>8.7777777777777788E-2</v>
      </c>
      <c r="F12" s="125">
        <f t="shared" si="6"/>
        <v>8.6666666666666684E-2</v>
      </c>
      <c r="G12" s="125">
        <f t="shared" si="6"/>
        <v>8.5555555555555579E-2</v>
      </c>
      <c r="H12" s="125">
        <f t="shared" si="6"/>
        <v>8.4444444444444475E-2</v>
      </c>
      <c r="I12" s="125">
        <f t="shared" si="6"/>
        <v>8.333333333333337E-2</v>
      </c>
      <c r="J12" s="125">
        <f t="shared" si="6"/>
        <v>8.2222222222222266E-2</v>
      </c>
      <c r="K12" s="125">
        <f t="shared" si="6"/>
        <v>8.1111111111111162E-2</v>
      </c>
      <c r="L12" s="125">
        <f t="shared" si="6"/>
        <v>8.0000000000000057E-2</v>
      </c>
      <c r="M12" s="125">
        <v>0.08</v>
      </c>
    </row>
    <row r="13" spans="1:13" ht="15" customHeight="1">
      <c r="A13" s="117" t="s">
        <v>12</v>
      </c>
      <c r="B13" s="4"/>
      <c r="C13" s="126">
        <f>1/(1+C12)</f>
        <v>0.9174311926605504</v>
      </c>
      <c r="D13" s="126">
        <f>C13*1/(1+D12)</f>
        <v>0.84253885040254639</v>
      </c>
      <c r="E13" s="126">
        <f t="shared" ref="E13:L13" si="7">D13*1/(1+E12)</f>
        <v>0.7745505264170498</v>
      </c>
      <c r="F13" s="126">
        <f t="shared" si="7"/>
        <v>0.71277655805249984</v>
      </c>
      <c r="G13" s="126">
        <f t="shared" si="7"/>
        <v>0.6566007187791707</v>
      </c>
      <c r="H13" s="126">
        <f t="shared" si="7"/>
        <v>0.60547197428407129</v>
      </c>
      <c r="I13" s="126">
        <f t="shared" si="7"/>
        <v>0.55889720703145029</v>
      </c>
      <c r="J13" s="126">
        <f t="shared" si="7"/>
        <v>0.51643479089148381</v>
      </c>
      <c r="K13" s="126">
        <f t="shared" si="7"/>
        <v>0.47768891243816591</v>
      </c>
      <c r="L13" s="126">
        <f t="shared" si="7"/>
        <v>0.44230454855385731</v>
      </c>
      <c r="M13" s="14"/>
    </row>
    <row r="14" spans="1:13" ht="15" customHeight="1">
      <c r="A14" s="117" t="s">
        <v>13</v>
      </c>
      <c r="B14" s="17"/>
      <c r="C14" s="119">
        <f>C10*C13</f>
        <v>2714.2721402647358</v>
      </c>
      <c r="D14" s="119">
        <f t="shared" ref="D14:L14" si="8">D10*D13</f>
        <v>2903.5271692960987</v>
      </c>
      <c r="E14" s="119">
        <f t="shared" si="8"/>
        <v>3049.8556112781994</v>
      </c>
      <c r="F14" s="119">
        <f t="shared" si="8"/>
        <v>3160.975005965096</v>
      </c>
      <c r="G14" s="119">
        <f t="shared" si="8"/>
        <v>3243.2773794</v>
      </c>
      <c r="H14" s="119">
        <f t="shared" si="8"/>
        <v>2475.1674317745369</v>
      </c>
      <c r="I14" s="119">
        <f t="shared" si="8"/>
        <v>2581.9129016482771</v>
      </c>
      <c r="J14" s="119">
        <f t="shared" si="8"/>
        <v>2666.8534737960349</v>
      </c>
      <c r="K14" s="119">
        <f t="shared" si="8"/>
        <v>2791.4182482376282</v>
      </c>
      <c r="L14" s="119">
        <f t="shared" si="8"/>
        <v>2888.3727452360113</v>
      </c>
      <c r="M14" s="18"/>
    </row>
    <row r="15" spans="1:13" ht="15" customHeight="1">
      <c r="A15" s="19"/>
      <c r="B15" s="19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15" customHeight="1" thickBot="1">
      <c r="A16" s="117" t="s">
        <v>14</v>
      </c>
      <c r="B16" s="128">
        <f>M10</f>
        <v>7928.3992268700767</v>
      </c>
      <c r="F16" s="4"/>
      <c r="G16" s="4"/>
      <c r="H16" s="4"/>
      <c r="I16" s="4"/>
      <c r="J16" s="4"/>
      <c r="K16" s="4"/>
      <c r="L16" s="4"/>
      <c r="M16" s="4"/>
    </row>
    <row r="17" spans="1:13" ht="15" customHeight="1">
      <c r="A17" s="117" t="s">
        <v>15</v>
      </c>
      <c r="B17" s="129">
        <v>0.08</v>
      </c>
      <c r="C17" s="4"/>
      <c r="D17" s="4"/>
      <c r="E17" s="4"/>
      <c r="F17" s="22" t="s">
        <v>16</v>
      </c>
      <c r="G17" s="23"/>
      <c r="H17" s="23"/>
      <c r="I17" s="23"/>
      <c r="J17" s="23"/>
      <c r="K17" s="24"/>
      <c r="L17" s="4"/>
      <c r="M17" s="4"/>
    </row>
    <row r="18" spans="1:13">
      <c r="A18" s="117" t="s">
        <v>17</v>
      </c>
      <c r="B18" s="128">
        <f>B16/(B17-M2)</f>
        <v>198209.98067175192</v>
      </c>
      <c r="C18" s="4"/>
      <c r="D18" s="4"/>
      <c r="E18" s="4"/>
      <c r="F18" s="158" t="s">
        <v>144</v>
      </c>
      <c r="G18" s="25" t="s">
        <v>145</v>
      </c>
      <c r="H18" s="4"/>
      <c r="I18" s="4"/>
      <c r="J18" s="4"/>
      <c r="K18" s="27"/>
      <c r="L18" s="4"/>
      <c r="M18" s="4"/>
    </row>
    <row r="19" spans="1:13">
      <c r="A19" s="117" t="s">
        <v>18</v>
      </c>
      <c r="B19" s="130">
        <f>B18*L13</f>
        <v>87669.176019888022</v>
      </c>
      <c r="C19" s="4"/>
      <c r="D19" s="25"/>
      <c r="E19" s="4"/>
      <c r="F19" s="159" t="s">
        <v>148</v>
      </c>
      <c r="G19" s="25" t="s">
        <v>146</v>
      </c>
      <c r="H19" s="4"/>
      <c r="I19" s="4"/>
      <c r="J19" s="4"/>
      <c r="K19" s="27"/>
      <c r="L19" s="4"/>
      <c r="M19" s="4"/>
    </row>
    <row r="20" spans="1:13" ht="17" thickBot="1">
      <c r="A20" s="117" t="s">
        <v>20</v>
      </c>
      <c r="B20" s="130">
        <f>SUM(C14:L14)</f>
        <v>28475.632106896617</v>
      </c>
      <c r="C20" s="4"/>
      <c r="D20" s="4"/>
      <c r="E20" s="4"/>
      <c r="F20" s="160" t="s">
        <v>43</v>
      </c>
      <c r="G20" s="32" t="s">
        <v>147</v>
      </c>
      <c r="H20" s="33"/>
      <c r="I20" s="33"/>
      <c r="J20" s="33"/>
      <c r="K20" s="34"/>
      <c r="L20" s="4"/>
      <c r="M20" s="4"/>
    </row>
    <row r="21" spans="1:13">
      <c r="A21" s="117" t="s">
        <v>22</v>
      </c>
      <c r="B21" s="130">
        <f>B20+B19</f>
        <v>116144.80812678464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>
      <c r="A22" s="117" t="s">
        <v>24</v>
      </c>
      <c r="B22" s="131">
        <v>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>
      <c r="A23" s="117" t="s">
        <v>25</v>
      </c>
      <c r="B23" s="132">
        <f>200000</f>
        <v>200000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>
      <c r="A24" s="117" t="s">
        <v>26</v>
      </c>
      <c r="B24" s="128">
        <f>B21*(1-B22)+B22*B23</f>
        <v>116144.80812678464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>
      <c r="A25" s="117" t="s">
        <v>27</v>
      </c>
      <c r="B25" s="134">
        <f>'Inputs From 10k'!B5</f>
        <v>7907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>
      <c r="A26" s="117" t="s">
        <v>28</v>
      </c>
      <c r="B26" s="134">
        <f>'Inputs From 10k'!B6</f>
        <v>36563</v>
      </c>
      <c r="C26" s="4"/>
      <c r="D26" s="4"/>
      <c r="E26" s="4"/>
      <c r="F26" s="94"/>
      <c r="G26" s="94"/>
      <c r="H26" s="4"/>
      <c r="I26" s="4"/>
      <c r="J26" s="4"/>
      <c r="K26" s="4"/>
      <c r="L26" s="4"/>
      <c r="M26" s="4"/>
    </row>
    <row r="27" spans="1:13">
      <c r="A27" s="117" t="s">
        <v>29</v>
      </c>
      <c r="B27" s="130">
        <f>B24-B25+B26</f>
        <v>144800.80812678463</v>
      </c>
      <c r="C27" s="4"/>
      <c r="D27" s="4"/>
      <c r="E27" s="4"/>
      <c r="F27" s="95"/>
      <c r="G27" s="95"/>
      <c r="H27" s="4"/>
      <c r="I27" s="4"/>
      <c r="J27" s="4"/>
      <c r="K27" s="4"/>
      <c r="L27" s="4"/>
      <c r="M27" s="4"/>
    </row>
    <row r="28" spans="1:13">
      <c r="A28" s="117" t="s">
        <v>30</v>
      </c>
      <c r="B28" s="133">
        <v>3200</v>
      </c>
      <c r="C28" s="4"/>
      <c r="D28" s="4"/>
      <c r="E28" s="4"/>
      <c r="F28" s="95"/>
      <c r="G28" s="96"/>
      <c r="H28" s="4"/>
      <c r="I28" s="4"/>
      <c r="J28" s="4"/>
      <c r="K28" s="4"/>
      <c r="L28" s="4"/>
      <c r="M28" s="4"/>
    </row>
    <row r="29" spans="1:13">
      <c r="A29" s="117" t="s">
        <v>31</v>
      </c>
      <c r="B29" s="161">
        <f>B27/B28</f>
        <v>45.250252539620199</v>
      </c>
      <c r="C29" s="4"/>
      <c r="D29" s="4"/>
      <c r="E29" s="4"/>
      <c r="F29" s="95"/>
      <c r="G29" s="96"/>
      <c r="L29" s="4"/>
      <c r="M29" s="4"/>
    </row>
    <row r="30" spans="1:13">
      <c r="C30" s="4"/>
      <c r="D30" s="4"/>
      <c r="E30" s="4"/>
    </row>
  </sheetData>
  <pageMargins left="0.75" right="0.75" top="1" bottom="1" header="0.5" footer="0.5"/>
  <pageSetup orientation="landscape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E5635-46A3-47AB-890A-6BC8CEE4AA4D}">
  <sheetPr>
    <tabColor theme="9" tint="0.79998168889431442"/>
  </sheetPr>
  <dimension ref="A1:D6"/>
  <sheetViews>
    <sheetView showGridLines="0" workbookViewId="0">
      <selection activeCell="C4" sqref="C4"/>
    </sheetView>
  </sheetViews>
  <sheetFormatPr baseColWidth="10" defaultColWidth="9" defaultRowHeight="12"/>
  <cols>
    <col min="1" max="1" width="13.1640625" style="40" bestFit="1" customWidth="1"/>
    <col min="2" max="2" width="10" style="40" bestFit="1" customWidth="1"/>
    <col min="3" max="3" width="42.1640625" style="40" bestFit="1" customWidth="1"/>
    <col min="4" max="4" width="25.83203125" style="40" bestFit="1" customWidth="1"/>
    <col min="5" max="16384" width="9" style="40"/>
  </cols>
  <sheetData>
    <row r="1" spans="1:4">
      <c r="A1" s="82" t="s">
        <v>32</v>
      </c>
      <c r="B1" s="82" t="s">
        <v>33</v>
      </c>
      <c r="C1" s="82" t="s">
        <v>34</v>
      </c>
      <c r="D1" s="82" t="s">
        <v>43</v>
      </c>
    </row>
    <row r="2" spans="1:4">
      <c r="A2" s="135" t="s">
        <v>35</v>
      </c>
      <c r="B2" s="136">
        <v>97690</v>
      </c>
      <c r="C2" s="135" t="s">
        <v>40</v>
      </c>
      <c r="D2" s="135"/>
    </row>
    <row r="3" spans="1:4">
      <c r="A3" s="135" t="s">
        <v>36</v>
      </c>
      <c r="B3" s="137">
        <f>7076/97690</f>
        <v>7.2433207083631893E-2</v>
      </c>
      <c r="C3" s="135" t="s">
        <v>42</v>
      </c>
      <c r="D3" s="135" t="s">
        <v>41</v>
      </c>
    </row>
    <row r="4" spans="1:4">
      <c r="A4" s="135" t="s">
        <v>37</v>
      </c>
      <c r="B4" s="137">
        <v>0.2</v>
      </c>
      <c r="C4" s="135" t="s">
        <v>44</v>
      </c>
      <c r="D4" s="135"/>
    </row>
    <row r="5" spans="1:4">
      <c r="A5" s="135" t="s">
        <v>38</v>
      </c>
      <c r="B5" s="136">
        <v>7907</v>
      </c>
      <c r="C5" s="135"/>
      <c r="D5" s="135"/>
    </row>
    <row r="6" spans="1:4">
      <c r="A6" s="138" t="s">
        <v>39</v>
      </c>
      <c r="B6" s="139">
        <v>36563</v>
      </c>
      <c r="C6" s="138"/>
      <c r="D6" s="13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E865A-A866-4914-A657-06CDC01A1273}">
  <sheetPr>
    <tabColor theme="7"/>
  </sheetPr>
  <dimension ref="A1:L6"/>
  <sheetViews>
    <sheetView showGridLines="0" tabSelected="1" workbookViewId="0">
      <selection activeCell="A11" sqref="A11"/>
    </sheetView>
  </sheetViews>
  <sheetFormatPr baseColWidth="10" defaultColWidth="8.83203125" defaultRowHeight="13"/>
  <cols>
    <col min="1" max="1" width="44.1640625" bestFit="1" customWidth="1"/>
  </cols>
  <sheetData>
    <row r="1" spans="1:12">
      <c r="A1" s="108" t="s">
        <v>57</v>
      </c>
      <c r="B1" s="109">
        <v>1</v>
      </c>
      <c r="C1" s="110">
        <f>B1+1</f>
        <v>2</v>
      </c>
      <c r="D1" s="110">
        <f t="shared" ref="D1:K1" si="0">C1+1</f>
        <v>3</v>
      </c>
      <c r="E1" s="110">
        <f t="shared" si="0"/>
        <v>4</v>
      </c>
      <c r="F1" s="110">
        <f t="shared" si="0"/>
        <v>5</v>
      </c>
      <c r="G1" s="110">
        <f t="shared" si="0"/>
        <v>6</v>
      </c>
      <c r="H1" s="110">
        <f t="shared" si="0"/>
        <v>7</v>
      </c>
      <c r="I1" s="110">
        <f t="shared" si="0"/>
        <v>8</v>
      </c>
      <c r="J1" s="110">
        <f t="shared" si="0"/>
        <v>9</v>
      </c>
      <c r="K1" s="111">
        <f t="shared" si="0"/>
        <v>10</v>
      </c>
    </row>
    <row r="2" spans="1:12">
      <c r="A2" s="112" t="s">
        <v>120</v>
      </c>
      <c r="B2" s="73">
        <f>'Unadjusted Growth Rate (Calc)'!H14</f>
        <v>8.5372907145604998E-2</v>
      </c>
      <c r="C2" s="74">
        <f>'Unadjusted Growth Rate (Calc)'!H15</f>
        <v>7.7954897286145811E-2</v>
      </c>
      <c r="D2" s="74">
        <f>'Unadjusted Growth Rate (Calc)'!H16</f>
        <v>7.1715370140299231E-2</v>
      </c>
      <c r="E2" s="74">
        <f>'Unadjusted Growth Rate (Calc)'!H17</f>
        <v>6.6394941769727739E-2</v>
      </c>
      <c r="F2" s="74">
        <f>'Unadjusted Growth Rate (Calc)'!H18</f>
        <v>6.1805018262775818E-2</v>
      </c>
      <c r="G2" s="74">
        <f>'Unadjusted Growth Rate (Calc)'!H19</f>
        <v>5.7805215513676893E-2</v>
      </c>
      <c r="H2" s="74">
        <f>'Unadjusted Growth Rate (Calc)'!H20</f>
        <v>5.4288896857586269E-2</v>
      </c>
      <c r="I2" s="74">
        <f>'Unadjusted Growth Rate (Calc)'!H21</f>
        <v>5.1173618162619665E-2</v>
      </c>
      <c r="J2" s="74">
        <f>'Unadjusted Growth Rate (Calc)'!H22</f>
        <v>4.6731780157230146E-2</v>
      </c>
      <c r="K2" s="75">
        <f>'Unadjusted Growth Rate (Calc)'!H23</f>
        <v>4.2715470013154594E-2</v>
      </c>
    </row>
    <row r="3" spans="1:12">
      <c r="A3" s="112" t="s">
        <v>121</v>
      </c>
      <c r="B3" s="70"/>
      <c r="C3" s="55"/>
      <c r="D3" s="55"/>
      <c r="E3" s="55"/>
      <c r="F3" s="55"/>
      <c r="G3" s="55"/>
      <c r="H3" s="55"/>
      <c r="I3" s="55"/>
      <c r="J3" s="55"/>
      <c r="K3" s="67"/>
    </row>
    <row r="4" spans="1:12">
      <c r="A4" s="113" t="s">
        <v>116</v>
      </c>
      <c r="B4" s="71">
        <f>B2+'Adjusted Growth Rate (G&amp;R Calc)'!$D$29</f>
        <v>8.6372907145604999E-2</v>
      </c>
      <c r="C4" s="68">
        <f>C2+'Adjusted Growth Rate (G&amp;R Calc)'!$D$29</f>
        <v>7.8954897286145811E-2</v>
      </c>
      <c r="D4" s="68">
        <f>D2+'Adjusted Growth Rate (G&amp;R Calc)'!$D$29</f>
        <v>7.2715370140299232E-2</v>
      </c>
      <c r="E4" s="68">
        <f>E2+'Adjusted Growth Rate (G&amp;R Calc)'!$D$29</f>
        <v>6.739494176972774E-2</v>
      </c>
      <c r="F4" s="68">
        <f>F2+'Adjusted Growth Rate (G&amp;R Calc)'!$D$29</f>
        <v>6.2805018262775819E-2</v>
      </c>
      <c r="G4" s="68">
        <f>G2+'Adjusted Growth Rate (G&amp;R Calc)'!$D$29</f>
        <v>5.8805215513676894E-2</v>
      </c>
      <c r="H4" s="68">
        <f>H2+'Adjusted Growth Rate (G&amp;R Calc)'!$D$29</f>
        <v>5.528889685758627E-2</v>
      </c>
      <c r="I4" s="68">
        <f>I2+'Adjusted Growth Rate (G&amp;R Calc)'!$D$29</f>
        <v>5.2173618162619666E-2</v>
      </c>
      <c r="J4" s="68">
        <f>J2+'Adjusted Growth Rate (G&amp;R Calc)'!$D$29</f>
        <v>4.7731780157230147E-2</v>
      </c>
      <c r="K4" s="69">
        <f>K2+'Adjusted Growth Rate (G&amp;R Calc)'!$D$29</f>
        <v>4.3715470013154595E-2</v>
      </c>
      <c r="L4" s="55"/>
    </row>
    <row r="5" spans="1:12">
      <c r="A5" s="113" t="s">
        <v>117</v>
      </c>
      <c r="B5" s="70">
        <f>B2+'Adjusted Growth Rate (G&amp;R Calc)'!$D$28</f>
        <v>-0.134627092854395</v>
      </c>
      <c r="C5" s="55">
        <f>C2+'Adjusted Growth Rate (G&amp;R Calc)'!$D$28</f>
        <v>-0.14204510271385418</v>
      </c>
      <c r="D5" s="55">
        <f>D2+'Adjusted Growth Rate (G&amp;R Calc)'!$D$28</f>
        <v>-0.14828462985970076</v>
      </c>
      <c r="E5" s="55">
        <f>E2+'Adjusted Growth Rate (G&amp;R Calc)'!$D$28</f>
        <v>-0.15360505823027226</v>
      </c>
      <c r="F5" s="55">
        <f>F2+'Adjusted Growth Rate (G&amp;R Calc)'!$D$28</f>
        <v>-0.15819498173722418</v>
      </c>
      <c r="G5" s="55">
        <f>G2+'Adjusted Growth Rate (G&amp;R Calc)'!$D$28</f>
        <v>-0.1621947844863231</v>
      </c>
      <c r="H5" s="55">
        <f>H2+'Adjusted Growth Rate (G&amp;R Calc)'!$D$28</f>
        <v>-0.16571110314241372</v>
      </c>
      <c r="I5" s="55">
        <f>I2+'Adjusted Growth Rate (G&amp;R Calc)'!$D$28</f>
        <v>-0.16882638183738033</v>
      </c>
      <c r="J5" s="55">
        <f>J2+'Adjusted Growth Rate (G&amp;R Calc)'!$D$28</f>
        <v>-0.17326821984276985</v>
      </c>
      <c r="K5" s="67">
        <f>K2+'Adjusted Growth Rate (G&amp;R Calc)'!$D$28</f>
        <v>-0.17728452998684541</v>
      </c>
    </row>
    <row r="6" spans="1:12">
      <c r="A6" s="114" t="s">
        <v>118</v>
      </c>
      <c r="B6" s="72">
        <f>B2+'Adjusted Growth Rate (G&amp;R Calc)'!$D$30</f>
        <v>0.16037290714560498</v>
      </c>
      <c r="C6" s="57">
        <f>C2+'Adjusted Growth Rate (G&amp;R Calc)'!$D$30</f>
        <v>0.15295489728614581</v>
      </c>
      <c r="D6" s="57">
        <f>D2+'Adjusted Growth Rate (G&amp;R Calc)'!$D$30</f>
        <v>0.14671537014029923</v>
      </c>
      <c r="E6" s="57">
        <f>E2+'Adjusted Growth Rate (G&amp;R Calc)'!$D$30</f>
        <v>0.14139494176972772</v>
      </c>
      <c r="F6" s="57">
        <f>F2+'Adjusted Growth Rate (G&amp;R Calc)'!$D$30</f>
        <v>0.1368050182627758</v>
      </c>
      <c r="G6" s="57">
        <f>G2+'Adjusted Growth Rate (G&amp;R Calc)'!$D$30</f>
        <v>0.13280521551367688</v>
      </c>
      <c r="H6" s="57">
        <f>H2+'Adjusted Growth Rate (G&amp;R Calc)'!$D$30</f>
        <v>0.12928889685758627</v>
      </c>
      <c r="I6" s="57">
        <f>I2+'Adjusted Growth Rate (G&amp;R Calc)'!$D$30</f>
        <v>0.12617361816261966</v>
      </c>
      <c r="J6" s="57">
        <f>J2+'Adjusted Growth Rate (G&amp;R Calc)'!$D$30</f>
        <v>0.12173178015723014</v>
      </c>
      <c r="K6" s="76">
        <f>K2+'Adjusted Growth Rate (G&amp;R Calc)'!$D$30</f>
        <v>0.11771547001315459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65BA6-94ED-4D10-9790-22B580A1C5D9}">
  <sheetPr>
    <tabColor theme="6" tint="0.79998168889431442"/>
  </sheetPr>
  <dimension ref="A1:H25"/>
  <sheetViews>
    <sheetView showGridLines="0" zoomScale="80" zoomScaleNormal="80" workbookViewId="0">
      <selection activeCell="B9" sqref="B9"/>
    </sheetView>
  </sheetViews>
  <sheetFormatPr baseColWidth="10" defaultColWidth="9" defaultRowHeight="12"/>
  <cols>
    <col min="1" max="1" width="12.33203125" style="40" bestFit="1" customWidth="1"/>
    <col min="2" max="2" width="12.33203125" style="40" customWidth="1"/>
    <col min="3" max="3" width="18.5" style="40" bestFit="1" customWidth="1"/>
    <col min="4" max="4" width="27.1640625" style="40" bestFit="1" customWidth="1"/>
    <col min="5" max="5" width="23.1640625" style="40" bestFit="1" customWidth="1"/>
    <col min="6" max="6" width="15.1640625" style="40" bestFit="1" customWidth="1"/>
    <col min="7" max="7" width="17.5" style="40" bestFit="1" customWidth="1"/>
    <col min="8" max="9" width="16.33203125" style="40" bestFit="1" customWidth="1"/>
    <col min="10" max="16384" width="9" style="40"/>
  </cols>
  <sheetData>
    <row r="1" spans="1:8">
      <c r="A1" s="80" t="s">
        <v>57</v>
      </c>
      <c r="B1" s="80" t="s">
        <v>58</v>
      </c>
      <c r="C1" s="81" t="s">
        <v>122</v>
      </c>
      <c r="D1" s="82" t="s">
        <v>124</v>
      </c>
    </row>
    <row r="2" spans="1:8">
      <c r="A2" s="83">
        <v>2014</v>
      </c>
      <c r="B2" s="84">
        <v>1</v>
      </c>
      <c r="C2" s="85">
        <v>3.2</v>
      </c>
      <c r="D2" s="86" t="s">
        <v>125</v>
      </c>
    </row>
    <row r="3" spans="1:8">
      <c r="A3" s="83">
        <f>A2+1</f>
        <v>2015</v>
      </c>
      <c r="B3" s="84">
        <f>B2+1</f>
        <v>2</v>
      </c>
      <c r="C3" s="85">
        <v>4</v>
      </c>
      <c r="D3" s="87">
        <f t="shared" ref="D3:D11" si="0">1- (C2/C3)</f>
        <v>0.19999999999999996</v>
      </c>
    </row>
    <row r="4" spans="1:8">
      <c r="A4" s="83">
        <f t="shared" ref="A4:A25" si="1">A3+1</f>
        <v>2016</v>
      </c>
      <c r="B4" s="84">
        <f t="shared" ref="B4:B25" si="2">B3+1</f>
        <v>3</v>
      </c>
      <c r="C4" s="85">
        <v>7</v>
      </c>
      <c r="D4" s="87">
        <f t="shared" si="0"/>
        <v>0.4285714285714286</v>
      </c>
    </row>
    <row r="5" spans="1:8">
      <c r="A5" s="83">
        <f t="shared" si="1"/>
        <v>2017</v>
      </c>
      <c r="B5" s="84">
        <f t="shared" si="2"/>
        <v>4</v>
      </c>
      <c r="C5" s="85">
        <v>11.8</v>
      </c>
      <c r="D5" s="87">
        <f t="shared" si="0"/>
        <v>0.40677966101694918</v>
      </c>
    </row>
    <row r="6" spans="1:8">
      <c r="A6" s="83">
        <f t="shared" si="1"/>
        <v>2018</v>
      </c>
      <c r="B6" s="84">
        <f t="shared" si="2"/>
        <v>5</v>
      </c>
      <c r="C6" s="85">
        <v>21.5</v>
      </c>
      <c r="D6" s="87">
        <f t="shared" si="0"/>
        <v>0.4511627906976744</v>
      </c>
    </row>
    <row r="7" spans="1:8">
      <c r="A7" s="83">
        <f t="shared" si="1"/>
        <v>2019</v>
      </c>
      <c r="B7" s="84">
        <f t="shared" si="2"/>
        <v>6</v>
      </c>
      <c r="C7" s="85">
        <v>24.6</v>
      </c>
      <c r="D7" s="87">
        <f t="shared" si="0"/>
        <v>0.1260162601626017</v>
      </c>
    </row>
    <row r="8" spans="1:8">
      <c r="A8" s="83">
        <f t="shared" si="1"/>
        <v>2020</v>
      </c>
      <c r="B8" s="84">
        <f t="shared" si="2"/>
        <v>7</v>
      </c>
      <c r="C8" s="85">
        <v>31.5</v>
      </c>
      <c r="D8" s="87">
        <f t="shared" si="0"/>
        <v>0.21904761904761905</v>
      </c>
    </row>
    <row r="9" spans="1:8">
      <c r="A9" s="83">
        <f t="shared" si="1"/>
        <v>2021</v>
      </c>
      <c r="B9" s="84">
        <f t="shared" si="2"/>
        <v>8</v>
      </c>
      <c r="C9" s="85">
        <v>53.8</v>
      </c>
      <c r="D9" s="87">
        <f t="shared" si="0"/>
        <v>0.41449814126394047</v>
      </c>
    </row>
    <row r="10" spans="1:8">
      <c r="A10" s="83">
        <f t="shared" si="1"/>
        <v>2022</v>
      </c>
      <c r="B10" s="84">
        <f t="shared" si="2"/>
        <v>9</v>
      </c>
      <c r="C10" s="85">
        <v>81.5</v>
      </c>
      <c r="D10" s="87">
        <f t="shared" si="0"/>
        <v>0.33987730061349697</v>
      </c>
    </row>
    <row r="11" spans="1:8">
      <c r="A11" s="83">
        <f t="shared" si="1"/>
        <v>2023</v>
      </c>
      <c r="B11" s="84">
        <f t="shared" si="2"/>
        <v>10</v>
      </c>
      <c r="C11" s="85">
        <v>96.8</v>
      </c>
      <c r="D11" s="87">
        <f t="shared" si="0"/>
        <v>0.15805785123966942</v>
      </c>
    </row>
    <row r="12" spans="1:8">
      <c r="A12" s="88">
        <f>A11+1</f>
        <v>2024</v>
      </c>
      <c r="B12" s="89">
        <f>B11+1</f>
        <v>11</v>
      </c>
      <c r="C12" s="90">
        <v>97.69</v>
      </c>
      <c r="D12" s="91">
        <f>1-(C11/C12)</f>
        <v>9.110451427986499E-3</v>
      </c>
    </row>
    <row r="13" spans="1:8">
      <c r="A13" s="92" t="s">
        <v>57</v>
      </c>
      <c r="B13" s="166" t="s">
        <v>58</v>
      </c>
      <c r="C13" s="167"/>
      <c r="D13" s="80" t="s">
        <v>123</v>
      </c>
      <c r="E13" s="82" t="s">
        <v>59</v>
      </c>
      <c r="F13" s="80" t="s">
        <v>61</v>
      </c>
      <c r="G13" s="80" t="s">
        <v>62</v>
      </c>
      <c r="H13" s="81" t="s">
        <v>60</v>
      </c>
    </row>
    <row r="14" spans="1:8">
      <c r="A14" s="93">
        <f>A12+1</f>
        <v>2025</v>
      </c>
      <c r="B14" s="168">
        <f>B12+1</f>
        <v>12</v>
      </c>
      <c r="C14" s="169"/>
      <c r="D14" s="53">
        <f t="shared" ref="D14:D25" si="3">10.556*B14-23.936</f>
        <v>102.73599999999999</v>
      </c>
      <c r="E14" s="54">
        <f t="shared" ref="E14:E25" si="4">40.583*LN(B14)-25.173</f>
        <v>75.671966568346406</v>
      </c>
      <c r="F14" s="77">
        <f t="shared" ref="F14:F24" si="5">1-(E14/E15)</f>
        <v>4.1160152310836806E-2</v>
      </c>
      <c r="G14" s="77">
        <f t="shared" ref="G14:G24" si="6">1-(D14/D15)</f>
        <v>9.3175157998799385E-2</v>
      </c>
      <c r="H14" s="78">
        <f t="shared" ref="H14:H21" si="7">0.15*F14+0.85*G14</f>
        <v>8.5372907145604998E-2</v>
      </c>
    </row>
    <row r="15" spans="1:8">
      <c r="A15" s="83">
        <f t="shared" si="1"/>
        <v>2026</v>
      </c>
      <c r="B15" s="164">
        <f t="shared" si="2"/>
        <v>13</v>
      </c>
      <c r="C15" s="165"/>
      <c r="D15" s="53">
        <f t="shared" si="3"/>
        <v>113.29199999999997</v>
      </c>
      <c r="E15" s="54">
        <f t="shared" si="4"/>
        <v>78.920339773861542</v>
      </c>
      <c r="F15" s="77">
        <f t="shared" si="5"/>
        <v>3.6709413641161204E-2</v>
      </c>
      <c r="G15" s="77">
        <f t="shared" si="6"/>
        <v>8.523351204702545E-2</v>
      </c>
      <c r="H15" s="78">
        <f t="shared" si="7"/>
        <v>7.7954897286145811E-2</v>
      </c>
    </row>
    <row r="16" spans="1:8">
      <c r="A16" s="83">
        <f t="shared" si="1"/>
        <v>2027</v>
      </c>
      <c r="B16" s="164">
        <f t="shared" si="2"/>
        <v>14</v>
      </c>
      <c r="C16" s="165"/>
      <c r="D16" s="53">
        <f t="shared" si="3"/>
        <v>123.84799999999998</v>
      </c>
      <c r="E16" s="54">
        <f t="shared" si="4"/>
        <v>81.927863607776032</v>
      </c>
      <c r="F16" s="77">
        <f t="shared" si="5"/>
        <v>3.3046268877751417E-2</v>
      </c>
      <c r="G16" s="77">
        <f t="shared" si="6"/>
        <v>7.8539329186631202E-2</v>
      </c>
      <c r="H16" s="78">
        <f t="shared" si="7"/>
        <v>7.1715370140299231E-2</v>
      </c>
    </row>
    <row r="17" spans="1:8">
      <c r="A17" s="83">
        <f t="shared" si="1"/>
        <v>2028</v>
      </c>
      <c r="B17" s="164">
        <f t="shared" si="2"/>
        <v>15</v>
      </c>
      <c r="C17" s="165"/>
      <c r="D17" s="53">
        <f t="shared" si="3"/>
        <v>134.40399999999997</v>
      </c>
      <c r="E17" s="54">
        <f t="shared" si="4"/>
        <v>84.727801311330978</v>
      </c>
      <c r="F17" s="77">
        <f t="shared" si="5"/>
        <v>2.9985778096933702E-2</v>
      </c>
      <c r="G17" s="77">
        <f t="shared" si="6"/>
        <v>7.2820088300220798E-2</v>
      </c>
      <c r="H17" s="78">
        <f t="shared" si="7"/>
        <v>6.6394941769727739E-2</v>
      </c>
    </row>
    <row r="18" spans="1:8">
      <c r="A18" s="83">
        <f t="shared" si="1"/>
        <v>2029</v>
      </c>
      <c r="B18" s="164">
        <f t="shared" si="2"/>
        <v>16</v>
      </c>
      <c r="C18" s="165"/>
      <c r="D18" s="53">
        <f t="shared" si="3"/>
        <v>144.95999999999998</v>
      </c>
      <c r="E18" s="54">
        <f t="shared" si="4"/>
        <v>87.346968114657031</v>
      </c>
      <c r="F18" s="77">
        <f t="shared" si="5"/>
        <v>2.7395647185448291E-2</v>
      </c>
      <c r="G18" s="77">
        <f t="shared" si="6"/>
        <v>6.7877260217598323E-2</v>
      </c>
      <c r="H18" s="78">
        <f t="shared" si="7"/>
        <v>6.1805018262775818E-2</v>
      </c>
    </row>
    <row r="19" spans="1:8">
      <c r="A19" s="83">
        <f t="shared" si="1"/>
        <v>2030</v>
      </c>
      <c r="B19" s="164">
        <f t="shared" si="2"/>
        <v>17</v>
      </c>
      <c r="C19" s="165"/>
      <c r="D19" s="53">
        <f t="shared" si="3"/>
        <v>155.51599999999999</v>
      </c>
      <c r="E19" s="54">
        <f t="shared" si="4"/>
        <v>89.807297141833416</v>
      </c>
      <c r="F19" s="77">
        <f t="shared" si="5"/>
        <v>2.5178948519813282E-2</v>
      </c>
      <c r="G19" s="77">
        <f t="shared" si="6"/>
        <v>6.3562792042005767E-2</v>
      </c>
      <c r="H19" s="78">
        <f t="shared" si="7"/>
        <v>5.7805215513676893E-2</v>
      </c>
    </row>
    <row r="20" spans="1:8">
      <c r="A20" s="83">
        <f t="shared" si="1"/>
        <v>2031</v>
      </c>
      <c r="B20" s="164">
        <f t="shared" si="2"/>
        <v>18</v>
      </c>
      <c r="C20" s="165"/>
      <c r="D20" s="53">
        <f t="shared" si="3"/>
        <v>166.07199999999997</v>
      </c>
      <c r="E20" s="54">
        <f t="shared" si="4"/>
        <v>92.126957050700042</v>
      </c>
      <c r="F20" s="77">
        <f t="shared" si="5"/>
        <v>2.3263177380775435E-2</v>
      </c>
      <c r="G20" s="77">
        <f t="shared" si="6"/>
        <v>5.9764023824082302E-2</v>
      </c>
      <c r="H20" s="78">
        <f t="shared" si="7"/>
        <v>5.4288896857586269E-2</v>
      </c>
    </row>
    <row r="21" spans="1:8">
      <c r="A21" s="83">
        <f t="shared" si="1"/>
        <v>2032</v>
      </c>
      <c r="B21" s="164">
        <f t="shared" si="2"/>
        <v>19</v>
      </c>
      <c r="C21" s="165"/>
      <c r="D21" s="53">
        <f t="shared" si="3"/>
        <v>176.62799999999999</v>
      </c>
      <c r="E21" s="54">
        <f t="shared" si="4"/>
        <v>94.32116709151164</v>
      </c>
      <c r="F21" s="77">
        <f t="shared" si="5"/>
        <v>2.1593104188100454E-2</v>
      </c>
      <c r="G21" s="77">
        <f t="shared" si="6"/>
        <v>5.639370886400541E-2</v>
      </c>
      <c r="H21" s="78">
        <f t="shared" si="7"/>
        <v>5.1173618162619665E-2</v>
      </c>
    </row>
    <row r="22" spans="1:8">
      <c r="A22" s="83">
        <f t="shared" si="1"/>
        <v>2033</v>
      </c>
      <c r="B22" s="164">
        <f t="shared" si="2"/>
        <v>20</v>
      </c>
      <c r="C22" s="165"/>
      <c r="D22" s="53">
        <f t="shared" si="3"/>
        <v>187.18399999999997</v>
      </c>
      <c r="E22" s="54">
        <f t="shared" si="4"/>
        <v>96.402802857641603</v>
      </c>
      <c r="F22" s="77">
        <f t="shared" si="5"/>
        <v>2.0125978767338015E-2</v>
      </c>
      <c r="G22" s="77">
        <f t="shared" si="6"/>
        <v>5.3383230504703172E-2</v>
      </c>
      <c r="H22" s="78">
        <f>0.2*F22+0.8*G22</f>
        <v>4.6731780157230146E-2</v>
      </c>
    </row>
    <row r="23" spans="1:8">
      <c r="A23" s="83">
        <f t="shared" si="1"/>
        <v>2034</v>
      </c>
      <c r="B23" s="164">
        <f t="shared" si="2"/>
        <v>21</v>
      </c>
      <c r="C23" s="165"/>
      <c r="D23" s="53">
        <f t="shared" si="3"/>
        <v>197.73999999999998</v>
      </c>
      <c r="E23" s="54">
        <f t="shared" si="4"/>
        <v>98.382854090129669</v>
      </c>
      <c r="F23" s="77">
        <f t="shared" si="5"/>
        <v>1.8828235623536749E-2</v>
      </c>
      <c r="G23" s="77">
        <f t="shared" si="6"/>
        <v>5.0677881476360542E-2</v>
      </c>
      <c r="H23" s="78">
        <f>0.25*F23+0.75*G23</f>
        <v>4.2715470013154594E-2</v>
      </c>
    </row>
    <row r="24" spans="1:8">
      <c r="A24" s="83">
        <f t="shared" si="1"/>
        <v>2035</v>
      </c>
      <c r="B24" s="164">
        <f t="shared" si="2"/>
        <v>22</v>
      </c>
      <c r="C24" s="165"/>
      <c r="D24" s="53">
        <f t="shared" si="3"/>
        <v>208.29599999999996</v>
      </c>
      <c r="E24" s="54">
        <f t="shared" si="4"/>
        <v>100.27077588464053</v>
      </c>
      <c r="F24" s="77">
        <f t="shared" si="5"/>
        <v>1.7673182373566632E-2</v>
      </c>
      <c r="G24" s="77">
        <f t="shared" si="6"/>
        <v>4.823350940361526E-2</v>
      </c>
      <c r="H24" s="78">
        <f>0.3*F24+0.7*G24</f>
        <v>3.9065411294600672E-2</v>
      </c>
    </row>
    <row r="25" spans="1:8">
      <c r="A25" s="88">
        <f t="shared" si="1"/>
        <v>2036</v>
      </c>
      <c r="B25" s="162">
        <f t="shared" si="2"/>
        <v>23</v>
      </c>
      <c r="C25" s="163"/>
      <c r="D25" s="53">
        <f t="shared" si="3"/>
        <v>218.85199999999998</v>
      </c>
      <c r="E25" s="54">
        <f t="shared" si="4"/>
        <v>102.07476176505267</v>
      </c>
    </row>
  </sheetData>
  <mergeCells count="13">
    <mergeCell ref="B18:C18"/>
    <mergeCell ref="B13:C13"/>
    <mergeCell ref="B14:C14"/>
    <mergeCell ref="B15:C15"/>
    <mergeCell ref="B16:C16"/>
    <mergeCell ref="B17:C17"/>
    <mergeCell ref="B25:C25"/>
    <mergeCell ref="B19:C19"/>
    <mergeCell ref="B20:C20"/>
    <mergeCell ref="B21:C21"/>
    <mergeCell ref="B22:C22"/>
    <mergeCell ref="B23:C23"/>
    <mergeCell ref="B24:C2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5F03A-DEC3-4941-9259-7BA83A11D2B4}">
  <sheetPr>
    <tabColor theme="6" tint="0.79998168889431442"/>
  </sheetPr>
  <dimension ref="A1:G30"/>
  <sheetViews>
    <sheetView showGridLines="0" zoomScale="80" zoomScaleNormal="80" workbookViewId="0">
      <selection activeCell="A28" sqref="A28"/>
    </sheetView>
  </sheetViews>
  <sheetFormatPr baseColWidth="10" defaultColWidth="8.83203125" defaultRowHeight="13"/>
  <cols>
    <col min="1" max="1" width="40.1640625" bestFit="1" customWidth="1"/>
    <col min="2" max="2" width="64.1640625" bestFit="1" customWidth="1"/>
    <col min="3" max="3" width="75.1640625" bestFit="1" customWidth="1"/>
    <col min="4" max="4" width="19.1640625" bestFit="1" customWidth="1"/>
    <col min="5" max="5" width="31" bestFit="1" customWidth="1"/>
    <col min="6" max="7" width="37.6640625" bestFit="1" customWidth="1"/>
  </cols>
  <sheetData>
    <row r="1" spans="1:7">
      <c r="A1" s="105" t="s">
        <v>63</v>
      </c>
      <c r="B1" s="105" t="s">
        <v>64</v>
      </c>
      <c r="C1" s="105" t="s">
        <v>65</v>
      </c>
      <c r="D1" s="56"/>
    </row>
    <row r="2" spans="1:7">
      <c r="A2" s="141" t="s">
        <v>66</v>
      </c>
      <c r="B2" s="148" t="s">
        <v>67</v>
      </c>
      <c r="C2" s="155" t="s">
        <v>68</v>
      </c>
      <c r="D2" s="56"/>
    </row>
    <row r="3" spans="1:7">
      <c r="A3" s="141" t="s">
        <v>69</v>
      </c>
      <c r="B3" s="148" t="s">
        <v>70</v>
      </c>
      <c r="C3" s="155" t="s">
        <v>71</v>
      </c>
      <c r="D3" s="56"/>
    </row>
    <row r="4" spans="1:7">
      <c r="A4" s="145" t="s">
        <v>72</v>
      </c>
      <c r="B4" s="149" t="s">
        <v>73</v>
      </c>
      <c r="C4" s="157" t="s">
        <v>74</v>
      </c>
      <c r="D4" s="56"/>
    </row>
    <row r="5" spans="1:7">
      <c r="A5" s="66"/>
      <c r="B5" s="58"/>
      <c r="C5" s="58"/>
      <c r="D5" s="56"/>
    </row>
    <row r="6" spans="1:7">
      <c r="A6" s="105" t="s">
        <v>104</v>
      </c>
      <c r="B6" s="105" t="s">
        <v>106</v>
      </c>
      <c r="C6" s="105" t="s">
        <v>65</v>
      </c>
      <c r="D6" s="56"/>
    </row>
    <row r="7" spans="1:7">
      <c r="A7" s="141" t="s">
        <v>105</v>
      </c>
      <c r="B7" s="154" t="s">
        <v>107</v>
      </c>
      <c r="C7" s="155" t="s">
        <v>108</v>
      </c>
      <c r="D7" s="56"/>
    </row>
    <row r="8" spans="1:7">
      <c r="A8" s="141" t="s">
        <v>69</v>
      </c>
      <c r="B8" s="154" t="s">
        <v>109</v>
      </c>
      <c r="C8" s="155" t="s">
        <v>110</v>
      </c>
      <c r="D8" s="56"/>
    </row>
    <row r="9" spans="1:7">
      <c r="A9" s="145" t="s">
        <v>111</v>
      </c>
      <c r="B9" s="156" t="s">
        <v>112</v>
      </c>
      <c r="C9" s="157" t="s">
        <v>113</v>
      </c>
      <c r="D9" s="56"/>
    </row>
    <row r="10" spans="1:7">
      <c r="A10" s="56"/>
      <c r="B10" s="56"/>
      <c r="C10" s="56"/>
      <c r="D10" s="56"/>
    </row>
    <row r="11" spans="1:7">
      <c r="A11" s="105" t="s">
        <v>46</v>
      </c>
      <c r="B11" s="105" t="s">
        <v>50</v>
      </c>
      <c r="C11" s="105" t="s">
        <v>75</v>
      </c>
      <c r="D11" s="105" t="s">
        <v>119</v>
      </c>
      <c r="E11" s="105" t="s">
        <v>76</v>
      </c>
      <c r="F11" s="105" t="s">
        <v>77</v>
      </c>
      <c r="G11" s="140" t="s">
        <v>114</v>
      </c>
    </row>
    <row r="12" spans="1:7">
      <c r="A12" s="141" t="s">
        <v>78</v>
      </c>
      <c r="B12" s="148" t="s">
        <v>79</v>
      </c>
      <c r="C12" s="142">
        <v>-0.05</v>
      </c>
      <c r="D12" s="142"/>
      <c r="E12" s="142">
        <v>0.6</v>
      </c>
      <c r="F12" s="59">
        <f>C12*(1-E12)</f>
        <v>-2.0000000000000004E-2</v>
      </c>
      <c r="G12" s="60">
        <f>C12*(1-0.65)</f>
        <v>-1.7499999999999998E-2</v>
      </c>
    </row>
    <row r="13" spans="1:7">
      <c r="A13" s="141" t="s">
        <v>80</v>
      </c>
      <c r="B13" s="148" t="s">
        <v>81</v>
      </c>
      <c r="C13" s="142">
        <v>-0.04</v>
      </c>
      <c r="D13" s="142"/>
      <c r="E13" s="142">
        <v>0.5</v>
      </c>
      <c r="F13" s="59">
        <f>C13*(1-E13)</f>
        <v>-0.02</v>
      </c>
      <c r="G13" s="60">
        <f>C13*(1-0.65)</f>
        <v>-1.3999999999999999E-2</v>
      </c>
    </row>
    <row r="14" spans="1:7">
      <c r="A14" s="141" t="s">
        <v>82</v>
      </c>
      <c r="B14" s="148" t="s">
        <v>83</v>
      </c>
      <c r="C14" s="142">
        <v>-0.06</v>
      </c>
      <c r="D14" s="142"/>
      <c r="E14" s="142">
        <v>0.2</v>
      </c>
      <c r="F14" s="59">
        <f>C14*(1-E14)</f>
        <v>-4.8000000000000001E-2</v>
      </c>
      <c r="G14" s="60">
        <f>C14*(1-0.65)</f>
        <v>-2.0999999999999998E-2</v>
      </c>
    </row>
    <row r="15" spans="1:7">
      <c r="A15" s="141" t="s">
        <v>84</v>
      </c>
      <c r="B15" s="148" t="s">
        <v>85</v>
      </c>
      <c r="C15" s="142">
        <v>-0.03</v>
      </c>
      <c r="D15" s="142"/>
      <c r="E15" s="142">
        <v>0.5</v>
      </c>
      <c r="F15" s="59">
        <f>C15*(1-E15)</f>
        <v>-1.4999999999999999E-2</v>
      </c>
      <c r="G15" s="60">
        <f>C15*(1-0.65)</f>
        <v>-1.0499999999999999E-2</v>
      </c>
    </row>
    <row r="16" spans="1:7">
      <c r="A16" s="145" t="s">
        <v>86</v>
      </c>
      <c r="B16" s="149" t="s">
        <v>87</v>
      </c>
      <c r="C16" s="153">
        <v>-0.04</v>
      </c>
      <c r="D16" s="153"/>
      <c r="E16" s="153">
        <v>0.4</v>
      </c>
      <c r="F16" s="59">
        <f>C16*(1-E16)</f>
        <v>-2.4E-2</v>
      </c>
      <c r="G16" s="60">
        <f>C16*(1-0.65)</f>
        <v>-1.3999999999999999E-2</v>
      </c>
    </row>
    <row r="17" spans="1:6">
      <c r="A17" s="56"/>
      <c r="B17" s="56"/>
      <c r="C17" s="56"/>
      <c r="D17" s="150" t="s">
        <v>100</v>
      </c>
      <c r="E17" s="151">
        <f>SUM(F12:F16)</f>
        <v>-0.127</v>
      </c>
      <c r="F17" s="152">
        <f>SUM(G12:G16)</f>
        <v>-7.6999999999999999E-2</v>
      </c>
    </row>
    <row r="18" spans="1:6">
      <c r="A18" s="56"/>
      <c r="B18" s="56"/>
      <c r="C18" s="56"/>
      <c r="D18" s="56"/>
    </row>
    <row r="19" spans="1:6">
      <c r="A19" s="105" t="s">
        <v>53</v>
      </c>
      <c r="B19" s="106" t="s">
        <v>88</v>
      </c>
      <c r="C19" s="106" t="s">
        <v>119</v>
      </c>
      <c r="D19" s="106" t="s">
        <v>89</v>
      </c>
      <c r="E19" s="140" t="s">
        <v>103</v>
      </c>
      <c r="F19" s="140" t="s">
        <v>115</v>
      </c>
    </row>
    <row r="20" spans="1:6">
      <c r="A20" s="141" t="s">
        <v>90</v>
      </c>
      <c r="B20" s="142">
        <v>0.06</v>
      </c>
      <c r="C20" s="142"/>
      <c r="D20" s="142">
        <v>0.8</v>
      </c>
      <c r="E20" s="62">
        <f>B20*D20</f>
        <v>4.8000000000000001E-2</v>
      </c>
      <c r="F20" s="63">
        <f>0.8*B20</f>
        <v>4.8000000000000001E-2</v>
      </c>
    </row>
    <row r="21" spans="1:6">
      <c r="A21" s="141" t="s">
        <v>91</v>
      </c>
      <c r="B21" s="142">
        <v>0.03</v>
      </c>
      <c r="C21" s="142"/>
      <c r="D21" s="142">
        <v>0.6</v>
      </c>
      <c r="E21" s="62">
        <f>B21*D21</f>
        <v>1.7999999999999999E-2</v>
      </c>
      <c r="F21" s="63">
        <f>0.8*B21</f>
        <v>2.4E-2</v>
      </c>
    </row>
    <row r="22" spans="1:6">
      <c r="A22" s="141" t="s">
        <v>92</v>
      </c>
      <c r="B22" s="142">
        <v>0.03</v>
      </c>
      <c r="C22" s="142"/>
      <c r="D22" s="142">
        <v>0.8</v>
      </c>
      <c r="E22" s="62">
        <f>B22*D22</f>
        <v>2.4E-2</v>
      </c>
      <c r="F22" s="63">
        <f>0.8*B22</f>
        <v>2.4E-2</v>
      </c>
    </row>
    <row r="23" spans="1:6">
      <c r="A23" s="141" t="s">
        <v>93</v>
      </c>
      <c r="B23" s="142">
        <v>0.04</v>
      </c>
      <c r="C23" s="142"/>
      <c r="D23" s="142">
        <v>0.5</v>
      </c>
      <c r="E23" s="62">
        <f>B23*D23</f>
        <v>0.02</v>
      </c>
      <c r="F23" s="63">
        <f>0.8*B23</f>
        <v>3.2000000000000001E-2</v>
      </c>
    </row>
    <row r="24" spans="1:6">
      <c r="A24" s="141" t="s">
        <v>94</v>
      </c>
      <c r="B24" s="142">
        <v>0.03</v>
      </c>
      <c r="C24" s="142"/>
      <c r="D24" s="142">
        <v>0.6</v>
      </c>
      <c r="E24" s="62">
        <f>B24*D24</f>
        <v>1.7999999999999999E-2</v>
      </c>
      <c r="F24" s="63">
        <f>0.8*B24</f>
        <v>2.4E-2</v>
      </c>
    </row>
    <row r="25" spans="1:6">
      <c r="D25" s="64" t="s">
        <v>100</v>
      </c>
      <c r="E25" s="61">
        <f>SUM(E20:E24)</f>
        <v>0.128</v>
      </c>
      <c r="F25" s="61">
        <f>SUM(F20:F24)</f>
        <v>0.152</v>
      </c>
    </row>
    <row r="27" spans="1:6">
      <c r="A27" s="105" t="s">
        <v>95</v>
      </c>
      <c r="B27" s="106" t="s">
        <v>96</v>
      </c>
      <c r="C27" s="106" t="s">
        <v>97</v>
      </c>
      <c r="D27" s="107" t="s">
        <v>98</v>
      </c>
    </row>
    <row r="28" spans="1:6">
      <c r="A28" s="141" t="s">
        <v>99</v>
      </c>
      <c r="B28" s="142">
        <f>SUM(C12:C16)</f>
        <v>-0.22</v>
      </c>
      <c r="C28" s="143">
        <v>0</v>
      </c>
      <c r="D28" s="65">
        <f>B28+C28</f>
        <v>-0.22</v>
      </c>
    </row>
    <row r="29" spans="1:6">
      <c r="A29" s="141" t="s">
        <v>102</v>
      </c>
      <c r="B29" s="144">
        <f>E17</f>
        <v>-0.127</v>
      </c>
      <c r="C29" s="144">
        <f>E25</f>
        <v>0.128</v>
      </c>
      <c r="D29" s="65">
        <f t="shared" ref="D29:D30" si="0">B29+C29</f>
        <v>1.0000000000000009E-3</v>
      </c>
    </row>
    <row r="30" spans="1:6">
      <c r="A30" s="145" t="s">
        <v>101</v>
      </c>
      <c r="B30" s="146">
        <f>F17</f>
        <v>-7.6999999999999999E-2</v>
      </c>
      <c r="C30" s="147">
        <f>F25</f>
        <v>0.152</v>
      </c>
      <c r="D30" s="65">
        <f t="shared" si="0"/>
        <v>7.4999999999999997E-2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A6D36-9996-4DB8-B6E0-EC699FB08D0B}">
  <sheetPr>
    <tabColor theme="3" tint="0.59999389629810485"/>
  </sheetPr>
  <dimension ref="A1"/>
  <sheetViews>
    <sheetView showGridLines="0" workbookViewId="0">
      <selection activeCell="Q38" sqref="Q38"/>
    </sheetView>
  </sheetViews>
  <sheetFormatPr baseColWidth="10" defaultColWidth="8.83203125" defaultRowHeight="1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4820-4394-46A0-B96C-2082DBA69E0F}">
  <sheetPr>
    <tabColor theme="4" tint="0.79998168889431442"/>
  </sheetPr>
  <dimension ref="A1"/>
  <sheetViews>
    <sheetView showGridLines="0" workbookViewId="0"/>
  </sheetViews>
  <sheetFormatPr baseColWidth="10" defaultColWidth="8.83203125" defaultRowHeight="1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65B7-13A1-4479-BBB6-D6B076119BD5}">
  <sheetPr>
    <tabColor theme="4" tint="0.79998168889431442"/>
  </sheetPr>
  <dimension ref="A1"/>
  <sheetViews>
    <sheetView showGridLines="0" topLeftCell="A1048536" workbookViewId="0">
      <selection activeCell="A1048576" sqref="A1048576"/>
    </sheetView>
  </sheetViews>
  <sheetFormatPr baseColWidth="10" defaultColWidth="8.83203125" defaultRowHeight="1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57449-9FCA-4000-A5BA-865CCB5011A7}">
  <sheetPr>
    <tabColor theme="5"/>
  </sheetPr>
  <dimension ref="A1:Z39"/>
  <sheetViews>
    <sheetView showGridLines="0" workbookViewId="0"/>
  </sheetViews>
  <sheetFormatPr baseColWidth="10" defaultColWidth="8.83203125" defaultRowHeight="13"/>
  <sheetData>
    <row r="1" spans="1:26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</row>
    <row r="2" spans="1:26">
      <c r="A2" s="79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</row>
    <row r="3" spans="1:26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</row>
    <row r="4" spans="1:26">
      <c r="A4" s="79"/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spans="1:26">
      <c r="A5" s="79"/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</row>
    <row r="6" spans="1:26">
      <c r="A6" s="79"/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</row>
    <row r="7" spans="1:26">
      <c r="A7" s="79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spans="1:26">
      <c r="A8" s="79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</row>
    <row r="9" spans="1:26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</row>
    <row r="10" spans="1:26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</row>
    <row r="11" spans="1:26">
      <c r="A11" s="79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</row>
    <row r="12" spans="1:26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spans="1:26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</row>
    <row r="14" spans="1:26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</row>
    <row r="15" spans="1:26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</row>
    <row r="16" spans="1:26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</row>
    <row r="17" spans="1:26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</row>
    <row r="18" spans="1:26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</row>
    <row r="19" spans="1:26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</row>
    <row r="20" spans="1:26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</row>
    <row r="21" spans="1:26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</row>
    <row r="22" spans="1:26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</row>
    <row r="23" spans="1:26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</row>
    <row r="24" spans="1:26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</row>
    <row r="25" spans="1:26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</row>
    <row r="26" spans="1:26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spans="1:26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</row>
    <row r="28" spans="1:26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spans="1:26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</row>
    <row r="30" spans="1:26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spans="1:26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</row>
    <row r="32" spans="1:26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spans="1:26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</row>
    <row r="34" spans="1:26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</row>
    <row r="35" spans="1:26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</row>
    <row r="36" spans="1:26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</row>
    <row r="37" spans="1:26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</row>
    <row r="38" spans="1:26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</row>
    <row r="39" spans="1:26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EBC7A-FD5D-44D1-914C-CE89AD303E22}">
  <sheetPr>
    <tabColor theme="5" tint="0.79998168889431442"/>
  </sheetPr>
  <dimension ref="A1:E14"/>
  <sheetViews>
    <sheetView showGridLines="0" zoomScale="60" zoomScaleNormal="60" workbookViewId="0"/>
  </sheetViews>
  <sheetFormatPr baseColWidth="10" defaultColWidth="9" defaultRowHeight="12"/>
  <cols>
    <col min="1" max="1" width="4.6640625" style="40" customWidth="1"/>
    <col min="2" max="4" width="100.6640625" style="40" customWidth="1"/>
    <col min="5" max="5" width="16.6640625" style="40" bestFit="1" customWidth="1"/>
    <col min="6" max="16384" width="9" style="40"/>
  </cols>
  <sheetData>
    <row r="1" spans="1:5">
      <c r="A1" s="41" t="s">
        <v>45</v>
      </c>
      <c r="B1" s="43" t="s">
        <v>46</v>
      </c>
      <c r="C1" s="43" t="s">
        <v>50</v>
      </c>
      <c r="D1" s="43" t="s">
        <v>47</v>
      </c>
      <c r="E1" s="42" t="s">
        <v>48</v>
      </c>
    </row>
    <row r="2" spans="1:5">
      <c r="A2" s="50">
        <f>1</f>
        <v>1</v>
      </c>
      <c r="B2" s="44" t="s">
        <v>51</v>
      </c>
      <c r="C2" s="44"/>
      <c r="D2" s="44" t="s">
        <v>49</v>
      </c>
      <c r="E2" s="52">
        <v>-0.02</v>
      </c>
    </row>
    <row r="3" spans="1:5">
      <c r="A3" s="50">
        <f>A2+1</f>
        <v>2</v>
      </c>
      <c r="B3" s="44" t="s">
        <v>52</v>
      </c>
      <c r="C3" s="44"/>
      <c r="D3" s="44" t="s">
        <v>49</v>
      </c>
      <c r="E3" s="13"/>
    </row>
    <row r="4" spans="1:5">
      <c r="A4" s="50">
        <f t="shared" ref="A4:A6" si="0">A3+1</f>
        <v>3</v>
      </c>
      <c r="B4" s="44" t="s">
        <v>55</v>
      </c>
      <c r="C4" s="44"/>
      <c r="D4" s="44" t="s">
        <v>56</v>
      </c>
      <c r="E4" s="13"/>
    </row>
    <row r="5" spans="1:5">
      <c r="A5" s="50">
        <f t="shared" si="0"/>
        <v>4</v>
      </c>
      <c r="B5" s="44"/>
      <c r="C5" s="44"/>
      <c r="D5" s="44"/>
      <c r="E5" s="13"/>
    </row>
    <row r="6" spans="1:5">
      <c r="A6" s="51">
        <f t="shared" si="0"/>
        <v>5</v>
      </c>
      <c r="B6" s="45"/>
      <c r="C6" s="45"/>
      <c r="D6" s="45"/>
      <c r="E6" s="49"/>
    </row>
    <row r="9" spans="1:5">
      <c r="A9" s="41" t="s">
        <v>45</v>
      </c>
      <c r="B9" s="43" t="s">
        <v>54</v>
      </c>
      <c r="C9" s="43" t="s">
        <v>47</v>
      </c>
      <c r="D9" s="42" t="s">
        <v>48</v>
      </c>
    </row>
    <row r="10" spans="1:5">
      <c r="A10" s="46">
        <v>1</v>
      </c>
      <c r="D10" s="13"/>
    </row>
    <row r="11" spans="1:5">
      <c r="A11" s="46">
        <f>A10+1</f>
        <v>2</v>
      </c>
      <c r="D11" s="13"/>
    </row>
    <row r="12" spans="1:5">
      <c r="A12" s="46">
        <f>A11+1</f>
        <v>3</v>
      </c>
      <c r="D12" s="13"/>
    </row>
    <row r="13" spans="1:5">
      <c r="A13" s="46">
        <f>A12+1</f>
        <v>4</v>
      </c>
      <c r="D13" s="13"/>
    </row>
    <row r="14" spans="1:5">
      <c r="A14" s="47">
        <f>A13+1</f>
        <v>5</v>
      </c>
      <c r="B14" s="48"/>
      <c r="C14" s="48"/>
      <c r="D14" s="4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25FD-F6B1-4658-943B-DD5E6FEA3348}">
  <sheetPr>
    <tabColor theme="5" tint="0.79998168889431442"/>
  </sheetPr>
  <dimension ref="A1"/>
  <sheetViews>
    <sheetView topLeftCell="A16" workbookViewId="0"/>
  </sheetViews>
  <sheetFormatPr baseColWidth="10" defaultColWidth="8.83203125" defaultRowHeight="1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M30"/>
  <sheetViews>
    <sheetView showGridLines="0" zoomScale="90" zoomScaleNormal="90" workbookViewId="0">
      <selection activeCell="B37" sqref="B37"/>
    </sheetView>
  </sheetViews>
  <sheetFormatPr baseColWidth="10" defaultColWidth="11.33203125" defaultRowHeight="16"/>
  <cols>
    <col min="1" max="1" width="30.1640625" style="1" bestFit="1" customWidth="1"/>
    <col min="2" max="2" width="15.5" style="1" bestFit="1" customWidth="1"/>
    <col min="3" max="12" width="15.5" style="2" bestFit="1" customWidth="1"/>
    <col min="13" max="13" width="16.83203125" style="2" bestFit="1" customWidth="1"/>
    <col min="14" max="14" width="12.6640625" bestFit="1" customWidth="1"/>
  </cols>
  <sheetData>
    <row r="1" spans="1:13">
      <c r="A1" s="3"/>
      <c r="B1" s="115" t="s">
        <v>0</v>
      </c>
      <c r="C1" s="115">
        <v>1</v>
      </c>
      <c r="D1" s="115">
        <v>2</v>
      </c>
      <c r="E1" s="115">
        <v>3</v>
      </c>
      <c r="F1" s="115">
        <v>4</v>
      </c>
      <c r="G1" s="115">
        <v>5</v>
      </c>
      <c r="H1" s="115">
        <v>6</v>
      </c>
      <c r="I1" s="115">
        <v>7</v>
      </c>
      <c r="J1" s="115">
        <v>8</v>
      </c>
      <c r="K1" s="115">
        <v>9</v>
      </c>
      <c r="L1" s="115">
        <v>10</v>
      </c>
      <c r="M1" s="116" t="s">
        <v>1</v>
      </c>
    </row>
    <row r="2" spans="1:13">
      <c r="A2" s="117" t="s">
        <v>2</v>
      </c>
      <c r="B2" s="4"/>
      <c r="C2" s="5">
        <f>'Assumptions&gt;&gt;&gt;'!B4</f>
        <v>8.6372907145604999E-2</v>
      </c>
      <c r="D2" s="5">
        <f>'Assumptions&gt;&gt;&gt;'!C4</f>
        <v>7.8954897286145811E-2</v>
      </c>
      <c r="E2" s="5">
        <f>'Assumptions&gt;&gt;&gt;'!D4</f>
        <v>7.2715370140299232E-2</v>
      </c>
      <c r="F2" s="5">
        <f>'Assumptions&gt;&gt;&gt;'!E4</f>
        <v>6.739494176972774E-2</v>
      </c>
      <c r="G2" s="5">
        <f>'Assumptions&gt;&gt;&gt;'!F4</f>
        <v>6.2805018262775819E-2</v>
      </c>
      <c r="H2" s="5">
        <f>'Assumptions&gt;&gt;&gt;'!G4</f>
        <v>5.8805215513676894E-2</v>
      </c>
      <c r="I2" s="5">
        <f>'Assumptions&gt;&gt;&gt;'!H4</f>
        <v>5.528889685758627E-2</v>
      </c>
      <c r="J2" s="5">
        <f>'Assumptions&gt;&gt;&gt;'!I4</f>
        <v>5.2173618162619666E-2</v>
      </c>
      <c r="K2" s="5">
        <f>'Assumptions&gt;&gt;&gt;'!J4</f>
        <v>4.7731780157230147E-2</v>
      </c>
      <c r="L2" s="5">
        <f>'Assumptions&gt;&gt;&gt;'!K4</f>
        <v>4.3715470013154595E-2</v>
      </c>
      <c r="M2" s="6">
        <v>0.04</v>
      </c>
    </row>
    <row r="3" spans="1:13" ht="15" customHeight="1">
      <c r="A3" s="117" t="s">
        <v>3</v>
      </c>
      <c r="B3" s="7">
        <f>'Inputs From 10k'!B2</f>
        <v>97690</v>
      </c>
      <c r="C3" s="8">
        <f>B3*(1+C2)</f>
        <v>106127.76929905415</v>
      </c>
      <c r="D3" s="8">
        <f t="shared" ref="D3:M3" si="0">C3*(1+D2)</f>
        <v>114507.07642326875</v>
      </c>
      <c r="E3" s="8">
        <f t="shared" si="0"/>
        <v>122833.50086907027</v>
      </c>
      <c r="F3" s="8">
        <f t="shared" si="0"/>
        <v>131111.85750751305</v>
      </c>
      <c r="G3" s="8">
        <f t="shared" si="0"/>
        <v>139346.34011273886</v>
      </c>
      <c r="H3" s="8">
        <f t="shared" si="0"/>
        <v>147540.6316741106</v>
      </c>
      <c r="I3" s="8">
        <f t="shared" si="0"/>
        <v>155697.99044104363</v>
      </c>
      <c r="J3" s="8">
        <f t="shared" si="0"/>
        <v>163821.31794300184</v>
      </c>
      <c r="K3" s="8">
        <f t="shared" si="0"/>
        <v>171640.80107612489</v>
      </c>
      <c r="L3" s="8">
        <f t="shared" si="0"/>
        <v>179144.15936860206</v>
      </c>
      <c r="M3" s="8">
        <f t="shared" si="0"/>
        <v>186309.92574334616</v>
      </c>
    </row>
    <row r="4" spans="1:13" ht="15" customHeight="1">
      <c r="A4" s="117" t="s">
        <v>4</v>
      </c>
      <c r="B4" s="9">
        <f>'Inputs From 10k'!B3</f>
        <v>7.2433207083631893E-2</v>
      </c>
      <c r="C4" s="9">
        <f>B4*(1+0.001)^C1</f>
        <v>7.2505640290715517E-2</v>
      </c>
      <c r="D4" s="9">
        <f t="shared" ref="D4:L4" si="1">C4*(1+0.001)^D1</f>
        <v>7.265072407693722E-2</v>
      </c>
      <c r="E4" s="9">
        <f t="shared" si="1"/>
        <v>7.2868894273990945E-2</v>
      </c>
      <c r="F4" s="9">
        <f t="shared" si="1"/>
        <v>7.3160807356000959E-2</v>
      </c>
      <c r="G4" s="9">
        <f t="shared" si="1"/>
        <v>7.3527343732828432E-2</v>
      </c>
      <c r="H4" s="9">
        <f t="shared" si="1"/>
        <v>7.396961217703156E-2</v>
      </c>
      <c r="I4" s="9">
        <f t="shared" si="1"/>
        <v>7.4488955415653341E-2</v>
      </c>
      <c r="J4" s="9">
        <f t="shared" si="1"/>
        <v>7.5086956926330037E-2</v>
      </c>
      <c r="K4" s="9">
        <f t="shared" si="1"/>
        <v>7.5765448985891076E-2</v>
      </c>
      <c r="L4" s="9">
        <f t="shared" si="1"/>
        <v>7.6526522028737984E-2</v>
      </c>
      <c r="M4" s="9">
        <f>L4*(1+0.001)^11</f>
        <v>7.737253538193084E-2</v>
      </c>
    </row>
    <row r="5" spans="1:13" ht="15" customHeight="1">
      <c r="A5" s="117" t="s">
        <v>5</v>
      </c>
      <c r="B5" s="10">
        <f>B3*B4</f>
        <v>7076</v>
      </c>
      <c r="C5" s="8">
        <f>C3*C4</f>
        <v>7694.8618656532626</v>
      </c>
      <c r="D5" s="8">
        <f t="shared" ref="D5:M5" si="2">D3*D4</f>
        <v>8319.0220140836609</v>
      </c>
      <c r="E5" s="8">
        <f t="shared" si="2"/>
        <v>8950.7413881324555</v>
      </c>
      <c r="F5" s="8">
        <f t="shared" si="2"/>
        <v>9592.2493491946097</v>
      </c>
      <c r="G5" s="8">
        <f t="shared" si="2"/>
        <v>10245.766247380969</v>
      </c>
      <c r="H5" s="8">
        <f>H3*H4</f>
        <v>10913.523305288219</v>
      </c>
      <c r="I5" s="8">
        <f t="shared" si="2"/>
        <v>11597.780668269719</v>
      </c>
      <c r="J5" s="8">
        <f t="shared" si="2"/>
        <v>12300.844244000797</v>
      </c>
      <c r="K5" s="8">
        <f t="shared" si="2"/>
        <v>13004.442357830618</v>
      </c>
      <c r="L5" s="8">
        <f t="shared" si="2"/>
        <v>13709.279458241073</v>
      </c>
      <c r="M5" s="8">
        <f t="shared" si="2"/>
        <v>14415.271321581959</v>
      </c>
    </row>
    <row r="6" spans="1:13" ht="15" customHeight="1">
      <c r="A6" s="117" t="s">
        <v>6</v>
      </c>
      <c r="B6" s="11">
        <f>'Inputs From 10k'!B4</f>
        <v>0.2</v>
      </c>
      <c r="C6" s="11">
        <f>B6*(1.01)^C1</f>
        <v>0.20200000000000001</v>
      </c>
      <c r="D6" s="11">
        <f t="shared" ref="D6:L6" si="3">C6*(1.01)^D1</f>
        <v>0.20606020000000003</v>
      </c>
      <c r="E6" s="11">
        <f t="shared" si="3"/>
        <v>0.21230403012020002</v>
      </c>
      <c r="F6" s="11">
        <f t="shared" si="3"/>
        <v>0.22092442508224092</v>
      </c>
      <c r="G6" s="11">
        <f t="shared" si="3"/>
        <v>0.23219379107399971</v>
      </c>
      <c r="H6" s="11">
        <f t="shared" si="3"/>
        <v>0.24647838806948932</v>
      </c>
      <c r="I6" s="11">
        <f t="shared" si="3"/>
        <v>0.26425819337965017</v>
      </c>
      <c r="J6" s="11">
        <f t="shared" si="3"/>
        <v>0.28615375671831617</v>
      </c>
      <c r="K6" s="11">
        <f t="shared" si="3"/>
        <v>0.31296214944612594</v>
      </c>
      <c r="L6" s="11">
        <f t="shared" si="3"/>
        <v>0.3457049146944387</v>
      </c>
      <c r="M6" s="11">
        <f>L6*(1.01)^11</f>
        <v>0.38569203061121871</v>
      </c>
    </row>
    <row r="7" spans="1:13" ht="15" customHeight="1">
      <c r="A7" s="117" t="s">
        <v>7</v>
      </c>
      <c r="B7" s="10">
        <f>B5*(1-B6)</f>
        <v>5660.8</v>
      </c>
      <c r="C7" s="8">
        <f>C5*(1-C6)</f>
        <v>6140.4997687913037</v>
      </c>
      <c r="D7" s="8">
        <f t="shared" ref="D7:M7" si="4">D5*(1-D6)</f>
        <v>6604.8026740571786</v>
      </c>
      <c r="E7" s="8">
        <f t="shared" si="4"/>
        <v>7050.4629188682611</v>
      </c>
      <c r="F7" s="8">
        <f t="shared" si="4"/>
        <v>7473.0871764782914</v>
      </c>
      <c r="G7" s="8">
        <f t="shared" si="4"/>
        <v>7866.7629399435536</v>
      </c>
      <c r="H7" s="8">
        <f t="shared" si="4"/>
        <v>8223.5756728419747</v>
      </c>
      <c r="I7" s="8">
        <f t="shared" si="4"/>
        <v>8532.9721016593321</v>
      </c>
      <c r="J7" s="8">
        <f t="shared" si="4"/>
        <v>8780.9114527730944</v>
      </c>
      <c r="K7" s="8">
        <f t="shared" si="4"/>
        <v>8934.544125175702</v>
      </c>
      <c r="L7" s="8">
        <f t="shared" si="4"/>
        <v>8969.9141726076232</v>
      </c>
      <c r="M7" s="8">
        <f t="shared" si="4"/>
        <v>8855.4160537493462</v>
      </c>
    </row>
    <row r="8" spans="1:13" ht="15" customHeight="1">
      <c r="A8" s="117" t="s">
        <v>8</v>
      </c>
      <c r="B8" s="4"/>
      <c r="C8" s="12">
        <v>3</v>
      </c>
      <c r="D8" s="12">
        <v>3</v>
      </c>
      <c r="E8" s="12">
        <v>3</v>
      </c>
      <c r="F8" s="12">
        <v>3</v>
      </c>
      <c r="G8" s="12">
        <v>3</v>
      </c>
      <c r="H8" s="12">
        <v>2</v>
      </c>
      <c r="I8" s="12">
        <v>2</v>
      </c>
      <c r="J8" s="12">
        <v>2</v>
      </c>
      <c r="K8" s="12">
        <v>2</v>
      </c>
      <c r="L8" s="12">
        <v>2</v>
      </c>
      <c r="M8" s="13"/>
    </row>
    <row r="9" spans="1:13" ht="15" customHeight="1">
      <c r="A9" s="117" t="s">
        <v>9</v>
      </c>
      <c r="B9" s="4"/>
      <c r="C9" s="8">
        <f>(C3-B3)/C8</f>
        <v>2812.5897663513847</v>
      </c>
      <c r="D9" s="8">
        <f t="shared" ref="D9:L9" si="5">(D3-C3)/D8</f>
        <v>2793.1023747381987</v>
      </c>
      <c r="E9" s="8">
        <f t="shared" si="5"/>
        <v>2775.4748152671723</v>
      </c>
      <c r="F9" s="8">
        <f t="shared" si="5"/>
        <v>2759.4522128142612</v>
      </c>
      <c r="G9" s="8">
        <f t="shared" si="5"/>
        <v>2744.8275350752715</v>
      </c>
      <c r="H9" s="8">
        <f t="shared" si="5"/>
        <v>4097.1457806858671</v>
      </c>
      <c r="I9" s="8">
        <f t="shared" si="5"/>
        <v>4078.679383466515</v>
      </c>
      <c r="J9" s="8">
        <f t="shared" si="5"/>
        <v>4061.6637509791035</v>
      </c>
      <c r="K9" s="8">
        <f t="shared" si="5"/>
        <v>3909.7415665615263</v>
      </c>
      <c r="L9" s="8">
        <f t="shared" si="5"/>
        <v>3751.6791462385881</v>
      </c>
      <c r="M9" s="8">
        <f>M2/0.15*M7</f>
        <v>2361.4442809998254</v>
      </c>
    </row>
    <row r="10" spans="1:13" ht="15" customHeight="1">
      <c r="A10" s="117" t="s">
        <v>10</v>
      </c>
      <c r="B10" s="4"/>
      <c r="C10" s="8">
        <f>C7-C9</f>
        <v>3327.910002439919</v>
      </c>
      <c r="D10" s="8">
        <f t="shared" ref="D10:L10" si="6">D7-D9</f>
        <v>3811.7002993189799</v>
      </c>
      <c r="E10" s="8">
        <f t="shared" si="6"/>
        <v>4274.9881036010884</v>
      </c>
      <c r="F10" s="8">
        <f t="shared" si="6"/>
        <v>4713.6349636640298</v>
      </c>
      <c r="G10" s="8">
        <f t="shared" si="6"/>
        <v>5121.9354048682817</v>
      </c>
      <c r="H10" s="8">
        <f t="shared" si="6"/>
        <v>4126.4298921561076</v>
      </c>
      <c r="I10" s="8">
        <f t="shared" si="6"/>
        <v>4454.2927181928171</v>
      </c>
      <c r="J10" s="8">
        <f t="shared" si="6"/>
        <v>4719.2477017939909</v>
      </c>
      <c r="K10" s="8">
        <f t="shared" si="6"/>
        <v>5024.8025586141757</v>
      </c>
      <c r="L10" s="8">
        <f t="shared" si="6"/>
        <v>5218.235026369035</v>
      </c>
      <c r="M10" s="8">
        <f>M7-M9</f>
        <v>6493.9717727495208</v>
      </c>
    </row>
    <row r="11" spans="1:13" ht="15" customHeight="1">
      <c r="A11" s="117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14"/>
    </row>
    <row r="12" spans="1:13" ht="15" customHeight="1">
      <c r="A12" s="117" t="s">
        <v>11</v>
      </c>
      <c r="B12" s="4"/>
      <c r="C12" s="15">
        <v>0.09</v>
      </c>
      <c r="D12" s="15">
        <f>C12-0.01/9</f>
        <v>8.8888888888888892E-2</v>
      </c>
      <c r="E12" s="15">
        <f t="shared" ref="E12:L12" si="7">D12-0.01/9</f>
        <v>8.7777777777777788E-2</v>
      </c>
      <c r="F12" s="15">
        <f t="shared" si="7"/>
        <v>8.6666666666666684E-2</v>
      </c>
      <c r="G12" s="15">
        <f t="shared" si="7"/>
        <v>8.5555555555555579E-2</v>
      </c>
      <c r="H12" s="15">
        <f t="shared" si="7"/>
        <v>8.4444444444444475E-2</v>
      </c>
      <c r="I12" s="15">
        <f t="shared" si="7"/>
        <v>8.333333333333337E-2</v>
      </c>
      <c r="J12" s="15">
        <f t="shared" si="7"/>
        <v>8.2222222222222266E-2</v>
      </c>
      <c r="K12" s="15">
        <f t="shared" si="7"/>
        <v>8.1111111111111162E-2</v>
      </c>
      <c r="L12" s="15">
        <f t="shared" si="7"/>
        <v>8.0000000000000057E-2</v>
      </c>
      <c r="M12" s="15">
        <v>0.08</v>
      </c>
    </row>
    <row r="13" spans="1:13" ht="15" customHeight="1">
      <c r="A13" s="117" t="s">
        <v>12</v>
      </c>
      <c r="B13" s="4"/>
      <c r="C13" s="16">
        <f>1/(1+C12)</f>
        <v>0.9174311926605504</v>
      </c>
      <c r="D13" s="16">
        <f>C13*1/(1+D12)</f>
        <v>0.84253885040254639</v>
      </c>
      <c r="E13" s="16">
        <f t="shared" ref="E13:L13" si="8">D13*1/(1+E12)</f>
        <v>0.7745505264170498</v>
      </c>
      <c r="F13" s="16">
        <f t="shared" si="8"/>
        <v>0.71277655805249984</v>
      </c>
      <c r="G13" s="16">
        <f t="shared" si="8"/>
        <v>0.6566007187791707</v>
      </c>
      <c r="H13" s="16">
        <f t="shared" si="8"/>
        <v>0.60547197428407129</v>
      </c>
      <c r="I13" s="16">
        <f t="shared" si="8"/>
        <v>0.55889720703145029</v>
      </c>
      <c r="J13" s="16">
        <f t="shared" si="8"/>
        <v>0.51643479089148381</v>
      </c>
      <c r="K13" s="16">
        <f t="shared" si="8"/>
        <v>0.47768891243816591</v>
      </c>
      <c r="L13" s="16">
        <f t="shared" si="8"/>
        <v>0.44230454855385731</v>
      </c>
      <c r="M13" s="14"/>
    </row>
    <row r="14" spans="1:13" ht="15" customHeight="1">
      <c r="A14" s="117" t="s">
        <v>13</v>
      </c>
      <c r="B14" s="17"/>
      <c r="C14" s="8">
        <f>C10*C13</f>
        <v>3053.1284426054299</v>
      </c>
      <c r="D14" s="8">
        <f t="shared" ref="D14:L14" si="9">D10*D13</f>
        <v>3211.5055882672555</v>
      </c>
      <c r="E14" s="8">
        <f t="shared" si="9"/>
        <v>3311.1942860708486</v>
      </c>
      <c r="F14" s="8">
        <f t="shared" si="9"/>
        <v>3359.7685053163673</v>
      </c>
      <c r="G14" s="8">
        <f t="shared" si="9"/>
        <v>3363.0664683769965</v>
      </c>
      <c r="H14" s="8">
        <f t="shared" si="9"/>
        <v>2498.4376535485658</v>
      </c>
      <c r="I14" s="8">
        <f t="shared" si="9"/>
        <v>2489.4917594984922</v>
      </c>
      <c r="J14" s="8">
        <f t="shared" si="9"/>
        <v>2437.1837000410951</v>
      </c>
      <c r="K14" s="8">
        <f t="shared" si="9"/>
        <v>2400.2924694409189</v>
      </c>
      <c r="L14" s="8">
        <f t="shared" si="9"/>
        <v>2308.0490875860819</v>
      </c>
      <c r="M14" s="18"/>
    </row>
    <row r="15" spans="1:13" ht="15" customHeight="1">
      <c r="A15" s="19"/>
      <c r="B15" s="19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15" customHeight="1" thickBot="1">
      <c r="A16" s="117" t="s">
        <v>14</v>
      </c>
      <c r="B16" s="20">
        <f>M10</f>
        <v>6493.9717727495208</v>
      </c>
      <c r="F16" s="4"/>
      <c r="G16" s="4"/>
      <c r="H16" s="4"/>
      <c r="I16" s="4"/>
      <c r="J16" s="4"/>
      <c r="K16" s="4"/>
      <c r="L16" s="4"/>
      <c r="M16" s="4"/>
    </row>
    <row r="17" spans="1:13" ht="15" customHeight="1">
      <c r="A17" s="117" t="s">
        <v>15</v>
      </c>
      <c r="B17" s="21">
        <v>0.08</v>
      </c>
      <c r="C17" s="4"/>
      <c r="D17" s="4"/>
      <c r="E17" s="4"/>
      <c r="F17" s="22" t="s">
        <v>16</v>
      </c>
      <c r="G17" s="23"/>
      <c r="H17" s="23"/>
      <c r="I17" s="23"/>
      <c r="J17" s="23"/>
      <c r="K17" s="24"/>
      <c r="L17" s="4"/>
      <c r="M17" s="4"/>
    </row>
    <row r="18" spans="1:13">
      <c r="A18" s="117" t="s">
        <v>17</v>
      </c>
      <c r="B18" s="20">
        <f>B16/(B17-M2)</f>
        <v>162349.29431873802</v>
      </c>
      <c r="C18" s="4"/>
      <c r="D18" s="4"/>
      <c r="E18" s="4"/>
      <c r="F18" s="26"/>
      <c r="G18" s="4"/>
      <c r="H18" s="4"/>
      <c r="I18" s="4"/>
      <c r="J18" s="4"/>
      <c r="K18" s="27"/>
      <c r="L18" s="4"/>
      <c r="M18" s="4"/>
    </row>
    <row r="19" spans="1:13">
      <c r="A19" s="117" t="s">
        <v>18</v>
      </c>
      <c r="B19" s="28">
        <f>B18*L13</f>
        <v>71807.831331686728</v>
      </c>
      <c r="C19" s="4"/>
      <c r="D19" s="25"/>
      <c r="E19" s="4"/>
      <c r="F19" s="29"/>
      <c r="G19" s="25" t="s">
        <v>19</v>
      </c>
      <c r="H19" s="4"/>
      <c r="I19" s="4"/>
      <c r="J19" s="4"/>
      <c r="K19" s="27"/>
      <c r="L19" s="4"/>
      <c r="M19" s="4"/>
    </row>
    <row r="20" spans="1:13">
      <c r="A20" s="117" t="s">
        <v>20</v>
      </c>
      <c r="B20" s="28">
        <f>SUM(C14:L14)</f>
        <v>28432.11796075205</v>
      </c>
      <c r="C20" s="4"/>
      <c r="D20" s="4"/>
      <c r="E20" s="4"/>
      <c r="F20" s="30"/>
      <c r="G20" s="25" t="s">
        <v>21</v>
      </c>
      <c r="H20" s="4"/>
      <c r="I20" s="4"/>
      <c r="J20" s="4"/>
      <c r="K20" s="27"/>
      <c r="L20" s="4"/>
      <c r="M20" s="4"/>
    </row>
    <row r="21" spans="1:13" ht="17" thickBot="1">
      <c r="A21" s="117" t="s">
        <v>22</v>
      </c>
      <c r="B21" s="28">
        <f>B20+B19</f>
        <v>100239.94929243877</v>
      </c>
      <c r="C21" s="4"/>
      <c r="D21" s="4"/>
      <c r="E21" s="4"/>
      <c r="F21" s="31"/>
      <c r="G21" s="32" t="s">
        <v>23</v>
      </c>
      <c r="H21" s="33"/>
      <c r="I21" s="33"/>
      <c r="J21" s="33"/>
      <c r="K21" s="34"/>
      <c r="L21" s="4"/>
      <c r="M21" s="4"/>
    </row>
    <row r="22" spans="1:13">
      <c r="A22" s="117" t="s">
        <v>24</v>
      </c>
      <c r="B22" s="35">
        <v>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>
      <c r="A23" s="117" t="s">
        <v>25</v>
      </c>
      <c r="B23" s="36">
        <f>200000</f>
        <v>200000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>
      <c r="A24" s="117" t="s">
        <v>26</v>
      </c>
      <c r="B24" s="20">
        <f>B21*(1-B22)+B22*B23</f>
        <v>100239.94929243877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>
      <c r="A25" s="117" t="s">
        <v>27</v>
      </c>
      <c r="B25" s="37">
        <f>'Inputs From 10k'!B5</f>
        <v>7907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>
      <c r="A26" s="117" t="s">
        <v>28</v>
      </c>
      <c r="B26" s="37">
        <f>'Inputs From 10k'!B6</f>
        <v>36563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>
      <c r="A27" s="117" t="s">
        <v>29</v>
      </c>
      <c r="B27" s="28">
        <f>B24-B25+B26</f>
        <v>128895.94929243877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>
      <c r="A28" s="117" t="s">
        <v>30</v>
      </c>
      <c r="B28" s="38">
        <v>3200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>
      <c r="A29" s="117" t="s">
        <v>31</v>
      </c>
      <c r="B29" s="39">
        <f>B27/B28</f>
        <v>40.279984153887114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>
      <c r="C30" s="4"/>
      <c r="D30" s="4"/>
      <c r="E30" s="4"/>
    </row>
  </sheetData>
  <phoneticPr fontId="3" type="noConversion"/>
  <pageMargins left="0.75" right="0.75" top="1" bottom="1" header="0.5" footer="0.5"/>
  <pageSetup orientation="landscape" horizontalDpi="4294967292" verticalDpi="429496729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775BF94E90DE44992638D198E8076D" ma:contentTypeVersion="3" ma:contentTypeDescription="Create a new document." ma:contentTypeScope="" ma:versionID="edf080727be763c8d431797caee516c1">
  <xsd:schema xmlns:xsd="http://www.w3.org/2001/XMLSchema" xmlns:xs="http://www.w3.org/2001/XMLSchema" xmlns:p="http://schemas.microsoft.com/office/2006/metadata/properties" xmlns:ns2="92f188b9-4dca-4085-a9b0-989d918470a2" targetNamespace="http://schemas.microsoft.com/office/2006/metadata/properties" ma:root="true" ma:fieldsID="ccbe18523e46d85a559d845292d7234b" ns2:_="">
    <xsd:import namespace="92f188b9-4dca-4085-a9b0-989d918470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188b9-4dca-4085-a9b0-989d918470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A80598-4716-4C1B-8908-B198F0505D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f188b9-4dca-4085-a9b0-989d918470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D8B5A9-AE83-47EE-A57F-076641482B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9101E8-5A6A-4FD7-A3B4-97AC2303AFE5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92f188b9-4dca-4085-a9b0-989d918470a2"/>
    <ds:schemaRef ds:uri="http://schemas.microsoft.com/office/2006/metadata/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Tesla Formatting</vt:lpstr>
      <vt:lpstr>Tesla Valuation</vt:lpstr>
      <vt:lpstr>Inputs From 10k</vt:lpstr>
      <vt:lpstr>Assumptions&gt;&gt;&gt;</vt:lpstr>
      <vt:lpstr>Unadjusted Growth Rate (Calc)</vt:lpstr>
      <vt:lpstr>Adjusted Growth Rate (G&amp;R Calc)</vt:lpstr>
      <vt:lpstr>EBIT OP Margin (Calc)&gt;</vt:lpstr>
      <vt:lpstr>Cost of Sales Ratio (Calc)</vt:lpstr>
      <vt:lpstr>OPEX Ratio (Calc)</vt:lpstr>
      <vt:lpstr>Miscelanious Tabs&gt;&gt;&gt;</vt:lpstr>
      <vt:lpstr>Risks</vt:lpstr>
      <vt:lpstr>Sheet3</vt:lpstr>
      <vt:lpstr>Valuation sheet (Original)</vt:lpstr>
    </vt:vector>
  </TitlesOfParts>
  <Manager/>
  <Company>Stern School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Aswath Damodaran</dc:creator>
  <cp:keywords/>
  <dc:description/>
  <cp:lastModifiedBy>Girotra, Krishna</cp:lastModifiedBy>
  <cp:revision/>
  <dcterms:created xsi:type="dcterms:W3CDTF">2000-02-22T13:53:50Z</dcterms:created>
  <dcterms:modified xsi:type="dcterms:W3CDTF">2025-11-16T21:47:05Z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0x010100F6775BF94E90DE44992638D198E8076D</vt:lpwstr>
  </property>
</Properties>
</file>